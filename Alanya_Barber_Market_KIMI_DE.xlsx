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eri Moretz\Downloads\Barber Shop\"/>
    </mc:Choice>
  </mc:AlternateContent>
  <xr:revisionPtr revIDLastSave="0" documentId="8_{D457D4B4-32B6-48B4-87A0-A9483EF777B5}" xr6:coauthVersionLast="47" xr6:coauthVersionMax="47" xr10:uidLastSave="{00000000-0000-0000-0000-000000000000}"/>
  <bookViews>
    <workbookView xWindow="2323" yWindow="3369" windowWidth="25200" windowHeight="11562" tabRatio="500" firstSheet="3" activeTab="3" xr2:uid="{00000000-000D-0000-FFFF-FFFF00000000}"/>
  </bookViews>
  <sheets>
    <sheet name="Dropdown_Helper" sheetId="1" state="hidden" r:id="rId1"/>
    <sheet name="Uebersicht" sheetId="2" r:id="rId2"/>
    <sheet name="Lead CRM" sheetId="3" r:id="rId3"/>
    <sheet name="Route" sheetId="4" r:id="rId4"/>
    <sheet name="Token-Kostenrechner" sheetId="5" r:id="rId5"/>
    <sheet name="Angebot &amp; Umsatz" sheetId="6" r:id="rId6"/>
    <sheet name="Landingpage TR" sheetId="7" r:id="rId7"/>
    <sheet name="Quellen &amp; Annahmen" sheetId="8" r:id="rId8"/>
  </sheets>
  <definedNames>
    <definedName name="_xlnm._FilterDatabase" localSheetId="2" hidden="1">'Lead CRM'!$A$1:$Y$51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6" l="1"/>
  <c r="D21" i="6"/>
  <c r="D22" i="6" s="1"/>
  <c r="D24" i="6" s="1"/>
  <c r="E13" i="6"/>
  <c r="G13" i="6" s="1"/>
  <c r="I13" i="6" s="1"/>
  <c r="J13" i="6" s="1"/>
  <c r="G12" i="6"/>
  <c r="I12" i="6" s="1"/>
  <c r="J12" i="6" s="1"/>
  <c r="E12" i="6"/>
  <c r="G11" i="6"/>
  <c r="I11" i="6" s="1"/>
  <c r="J11" i="6" s="1"/>
  <c r="E11" i="6"/>
  <c r="I24" i="5"/>
  <c r="C24" i="5"/>
  <c r="I23" i="5"/>
  <c r="H23" i="5"/>
  <c r="C23" i="5"/>
  <c r="I22" i="5"/>
  <c r="C22" i="5"/>
  <c r="I21" i="5"/>
  <c r="H21" i="5"/>
  <c r="G21" i="5"/>
  <c r="J21" i="5" s="1"/>
  <c r="C21" i="5"/>
  <c r="I20" i="5"/>
  <c r="H20" i="5"/>
  <c r="C20" i="5"/>
  <c r="I19" i="5"/>
  <c r="H19" i="5"/>
  <c r="C19" i="5"/>
  <c r="H13" i="5"/>
  <c r="H22" i="5" s="1"/>
  <c r="G13" i="5"/>
  <c r="G24" i="5" s="1"/>
  <c r="H12" i="5"/>
  <c r="G12" i="5"/>
  <c r="H11" i="5"/>
  <c r="G11" i="5"/>
  <c r="H10" i="5"/>
  <c r="G10" i="5"/>
  <c r="G20" i="5" s="1"/>
  <c r="J20" i="5" s="1"/>
  <c r="H9" i="5"/>
  <c r="G9" i="5"/>
  <c r="G23" i="5" s="1"/>
  <c r="J23" i="5" s="1"/>
  <c r="H8" i="5"/>
  <c r="G8" i="5"/>
  <c r="H8" i="2"/>
  <c r="F8" i="2"/>
  <c r="D8" i="2"/>
  <c r="B8" i="2"/>
  <c r="H5" i="2"/>
  <c r="F5" i="2"/>
  <c r="D5" i="2"/>
  <c r="B5" i="2"/>
  <c r="H24" i="5" l="1"/>
  <c r="J24" i="5" s="1"/>
  <c r="G22" i="5"/>
  <c r="J22" i="5" s="1"/>
  <c r="G19" i="5"/>
  <c r="J19" i="5" s="1"/>
  <c r="J25" i="5" l="1"/>
</calcChain>
</file>

<file path=xl/sharedStrings.xml><?xml version="1.0" encoding="utf-8"?>
<sst xmlns="http://schemas.openxmlformats.org/spreadsheetml/2006/main" count="1563" uniqueCount="695">
  <si>
    <t>A - Sofort kontaktieren</t>
  </si>
  <si>
    <t>Keine Website gefunden</t>
  </si>
  <si>
    <t>Kein Online-Booking gefunden</t>
  </si>
  <si>
    <t>Hoch</t>
  </si>
  <si>
    <t>Quick Win</t>
  </si>
  <si>
    <t>Neu</t>
  </si>
  <si>
    <t>Offen</t>
  </si>
  <si>
    <t>Offiziell bestaetigt</t>
  </si>
  <si>
    <t>B - Gute Chance</t>
  </si>
  <si>
    <t>Schwache Website</t>
  </si>
  <si>
    <t>Booking nur ueber WhatsApp/Telefon</t>
  </si>
  <si>
    <t>Mittel</t>
  </si>
  <si>
    <t>Premium Upgrade</t>
  </si>
  <si>
    <t>Zu pruefen</t>
  </si>
  <si>
    <t>In Verhandlung</t>
  </si>
  <si>
    <t>Oeffentlich gelistet</t>
  </si>
  <si>
    <t>C - Spaeter pruefen</t>
  </si>
  <si>
    <t>Website vorhanden</t>
  </si>
  <si>
    <t>Einfaches Booking vorhanden</t>
  </si>
  <si>
    <t>Niedrig</t>
  </si>
  <si>
    <t>Local SEO Fix</t>
  </si>
  <si>
    <t>Kontaktiert</t>
  </si>
  <si>
    <t>Gewonnen</t>
  </si>
  <si>
    <t>Manuell zu pruefen</t>
  </si>
  <si>
    <t>D - Niedrige Prioritaet</t>
  </si>
  <si>
    <t>Gute Website</t>
  </si>
  <si>
    <t>Starkes Booking vorhanden</t>
  </si>
  <si>
    <t>Booking Upgrade</t>
  </si>
  <si>
    <t>Follow-up noetig</t>
  </si>
  <si>
    <t>Verloren</t>
  </si>
  <si>
    <t>Nicht priorisiert</t>
  </si>
  <si>
    <t>Termin vereinbart</t>
  </si>
  <si>
    <t>Angebot gesendet</t>
  </si>
  <si>
    <t>Nicht passend</t>
  </si>
  <si>
    <t>Alanya Barber Shop - Lead Dashboard</t>
  </si>
  <si>
    <t>B2B Marktanalyse &amp; Kundenakquise | Stand: Juni 2026</t>
  </si>
  <si>
    <t>Gesamt Leads</t>
  </si>
  <si>
    <t>A-Prioritaet</t>
  </si>
  <si>
    <t>Ohne Website</t>
  </si>
  <si>
    <t>Ohne Booking</t>
  </si>
  <si>
    <t>Follow-ups</t>
  </si>
  <si>
    <t>Potenzial (EUR)</t>
  </si>
  <si>
    <t xml:space="preserve"> Markt-Fazit &amp; Opportunity</t>
  </si>
  <si>
    <t>Die Marktanalyse Alanya zeigt eine exzellente Opportunity:
• Marktgroesse: Geschätzt 250-450 Barbier-/Kuafoer-Betriebe in Alanya
• Digital Gap: 80-90% haben keine Website, 95%+ kein Online-Booking
• Tourismus: 4,5-5 Mio. Touristen/Jahr, 30.000+ auslaendische Residenten
• TAM ~127.000 EUR | SAM ~71.000 EUR | SOM (Jahr 1) ~7.000 EUR
• Strategie: Touristen-Bezirke zuerst (Mahmutlar, Oba, Merkez)
• Einstieg: Starterpakete 95-150 EUR sind sehr erschwinglich</t>
  </si>
  <si>
    <t xml:space="preserve"> Empfohlene Naechste Schritte</t>
  </si>
  <si>
    <t>1. Sofort</t>
  </si>
  <si>
    <t>A-Prioritaet Leads kontaktieren (11 Betriebe)</t>
  </si>
  <si>
    <t>Heute</t>
  </si>
  <si>
    <t>2. Diese Woche</t>
  </si>
  <si>
    <t>Mahmutlar &amp; Oba besuchen - 8 Top-Leads</t>
  </si>
  <si>
    <t>Tag 1-3</t>
  </si>
  <si>
    <t>3. Termine</t>
  </si>
  <si>
    <t>3-5 Pilotkunden fuer verguenstigte Websites gewinnen</t>
  </si>
  <si>
    <t>Woche 1-2</t>
  </si>
  <si>
    <t>4. Esnaf Odasi</t>
  </si>
  <si>
    <t>Alanya Esnaf Odasi anrufen (+90 242 513 18 52)</t>
  </si>
  <si>
    <t>Woche 1</t>
  </si>
  <si>
    <t>5. Pitch</t>
  </si>
  <si>
    <t>Tuerkischsprachige Verkaufsunterlagen mit ROI-Beispielen</t>
  </si>
  <si>
    <t xml:space="preserve"> Leads nach Bezirk</t>
  </si>
  <si>
    <t>Bezirk</t>
  </si>
  <si>
    <t>Anzahl</t>
  </si>
  <si>
    <t>Top-Prio</t>
  </si>
  <si>
    <t>Empfohlener Tag</t>
  </si>
  <si>
    <t>Saray (Merkez)</t>
  </si>
  <si>
    <t>~14</t>
  </si>
  <si>
    <t>B/C</t>
  </si>
  <si>
    <t>Tag 1 Nachmittag</t>
  </si>
  <si>
    <t>Sekerhane</t>
  </si>
  <si>
    <t>~7</t>
  </si>
  <si>
    <t>A</t>
  </si>
  <si>
    <t>Tag 1 Vormittag</t>
  </si>
  <si>
    <t>Oba</t>
  </si>
  <si>
    <t>~4</t>
  </si>
  <si>
    <t>Tag 2 Vormittag</t>
  </si>
  <si>
    <t>Gueller Pınari</t>
  </si>
  <si>
    <t>~3</t>
  </si>
  <si>
    <t>Tag 2 Nachmittag</t>
  </si>
  <si>
    <t>Mahmutlar</t>
  </si>
  <si>
    <t>~2</t>
  </si>
  <si>
    <t>Tag 3 Vormittag</t>
  </si>
  <si>
    <t>Cikcilli</t>
  </si>
  <si>
    <t>B</t>
  </si>
  <si>
    <t>Tag 3 Nachmittag</t>
  </si>
  <si>
    <t>Hacet</t>
  </si>
  <si>
    <t>Tag 4 Vormittag</t>
  </si>
  <si>
    <t>Kizlar Pınari</t>
  </si>
  <si>
    <t>~1</t>
  </si>
  <si>
    <t>Tag 4 Nachmittag</t>
  </si>
  <si>
    <t>Konakli</t>
  </si>
  <si>
    <t>Tag 5 Vormittag</t>
  </si>
  <si>
    <t>Tosmur</t>
  </si>
  <si>
    <t>Tag 5 Nachmittag</t>
  </si>
  <si>
    <t>Sonstige</t>
  </si>
  <si>
    <t>C</t>
  </si>
  <si>
    <t>Spaeter</t>
  </si>
  <si>
    <t>Prioritaet</t>
  </si>
  <si>
    <t>Route</t>
  </si>
  <si>
    <t>Barber / Geschaeft</t>
  </si>
  <si>
    <t>Adresse</t>
  </si>
  <si>
    <t>Telefon / WhatsApp</t>
  </si>
  <si>
    <t>Website</t>
  </si>
  <si>
    <t>Maps / Directory</t>
  </si>
  <si>
    <t>Instagram</t>
  </si>
  <si>
    <t>Bewertung</t>
  </si>
  <si>
    <t>Services</t>
  </si>
  <si>
    <t>Website-Status</t>
  </si>
  <si>
    <t>Booking-Status</t>
  </si>
  <si>
    <t>SEO-Potenzial</t>
  </si>
  <si>
    <t>Hauptproblem</t>
  </si>
  <si>
    <t>Empfohlenes Angebot</t>
  </si>
  <si>
    <t>Segment</t>
  </si>
  <si>
    <t>Kontaktstatus</t>
  </si>
  <si>
    <t>Letzter Kontakt</t>
  </si>
  <si>
    <t>Naechster Schritt</t>
  </si>
  <si>
    <t>Conversion</t>
  </si>
  <si>
    <t>Umsatzpotenzial EUR</t>
  </si>
  <si>
    <t>Quelle</t>
  </si>
  <si>
    <t>Verifizierung</t>
  </si>
  <si>
    <t>Notizen</t>
  </si>
  <si>
    <t>A - Sofort</t>
  </si>
  <si>
    <t>King Barbershop</t>
  </si>
  <si>
    <t>Nexus Apart No:20 119 St Mahmutlar</t>
  </si>
  <si>
    <t>+90 535 355 92 66</t>
  </si>
  <si>
    <t>https://kingbarbershop.com.tr</t>
  </si>
  <si>
    <t>Yandex Maps</t>
  </si>
  <si>
    <t>Nicht gefunden</t>
  </si>
  <si>
    <t>5.0/5 (27 Google)</t>
  </si>
  <si>
    <t>Signature kesim sicak havlu sakal sekillendirme</t>
  </si>
  <si>
    <t>Booking nur über WhatsApp/Telefon</t>
  </si>
  <si>
    <t>Keine Online-Terminbuchung</t>
  </si>
  <si>
    <t>Booking + Google Business</t>
  </si>
  <si>
    <t>Instagram/Telefon kontaktieren</t>
  </si>
  <si>
    <t>Yandex Google</t>
  </si>
  <si>
    <t>Offiziell bestätigt</t>
  </si>
  <si>
    <t>Premium Barbier</t>
  </si>
  <si>
    <t>Caglar Kuafor</t>
  </si>
  <si>
    <t>Cumhuriyet Mah Mehmet Cakir Cd 14/C</t>
  </si>
  <si>
    <t>+90 538 501 65 04</t>
  </si>
  <si>
    <t>Alanya GO</t>
  </si>
  <si>
    <t>3.0/5 (13)</t>
  </si>
  <si>
    <t>Sac kesimi sakal bakimi modern styling</t>
  </si>
  <si>
    <t>Keine Website keine Online-Präsenz</t>
  </si>
  <si>
    <t>Komplettpaket Website + Booking + SEO</t>
  </si>
  <si>
    <t>Vor-Ort-Besuch</t>
  </si>
  <si>
    <t>Alanya GO Yandex</t>
  </si>
  <si>
    <t>15+ Jahre Erfahrung</t>
  </si>
  <si>
    <t>Kuafor Tevfik</t>
  </si>
  <si>
    <t>Mahmutlar Mah 248 Sok No:11/A</t>
  </si>
  <si>
    <t>+90 533 231 35 51</t>
  </si>
  <si>
    <t>4.4/5 (17)</t>
  </si>
  <si>
    <t>Erkek sac kesimi sakal bakimi 24h</t>
  </si>
  <si>
    <t>Keine Website trotz 24h-Betrieb</t>
  </si>
  <si>
    <t>Website + Online-Booking + Google</t>
  </si>
  <si>
    <t>Telefonisch kontaktieren</t>
  </si>
  <si>
    <t>24h geoeffnet - einzigartig</t>
  </si>
  <si>
    <t>Kerim Guven Barber Club</t>
  </si>
  <si>
    <t>Oba Eski Gazipasa Cd No:25/B</t>
  </si>
  <si>
    <t>+90 539 524 99 88</t>
  </si>
  <si>
    <t>https://kerimguven.com</t>
  </si>
  <si>
    <t>Explore Alanya</t>
  </si>
  <si>
    <t>5.0/5 (254 Yandex) 4.7/5 (474)</t>
  </si>
  <si>
    <t>Fade taper beard coloring facial manikuer</t>
  </si>
  <si>
    <t>Website existiert SEO/GEO ausbaufaehig</t>
  </si>
  <si>
    <t>SEO/GEO Optimierung + AI Chat</t>
  </si>
  <si>
    <t>E-Mail mit SEO-Analyse</t>
  </si>
  <si>
    <t>Explore Alanya Yandex</t>
  </si>
  <si>
    <t>Premium-Salon Multi-Currency VIP</t>
  </si>
  <si>
    <t>Hair Studio Eyuep Sahin</t>
  </si>
  <si>
    <t>Karakuş Sok Fabrika Cd 2c/a Oba</t>
  </si>
  <si>
    <t>+90 530 402 94 90</t>
  </si>
  <si>
    <t>4.6/5 (9) 5.0/5 (5)</t>
  </si>
  <si>
    <t>Sac kesimi ombre sombre roefle keratin</t>
  </si>
  <si>
    <t>Keine Website trotz exzellenter Bewertungen</t>
  </si>
  <si>
    <t>Komplettpaket Website + Booking + Gallery</t>
  </si>
  <si>
    <t>Top-Bewertungen Coloring-Spezialist</t>
  </si>
  <si>
    <t>Yusuf Berber Salonu</t>
  </si>
  <si>
    <t>Oba Mah Carsamba Cad 61/3</t>
  </si>
  <si>
    <t>+90 535 330 13 72</t>
  </si>
  <si>
    <t>https://yusufhairsalon.com</t>
  </si>
  <si>
    <t>Referenziert</t>
  </si>
  <si>
    <t>5.0/5 (14)</t>
  </si>
  <si>
    <t>Coloring balayage extensions keratin</t>
  </si>
  <si>
    <t>Website vorhanden aber kein Booking</t>
  </si>
  <si>
    <t>Booking-Upgrade + AI-Chat</t>
  </si>
  <si>
    <t>Website-Analyse senden</t>
  </si>
  <si>
    <t>Yandex Website</t>
  </si>
  <si>
    <t>Auch Herren-Services Instagram aktiv</t>
  </si>
  <si>
    <t>Kardesler Berber</t>
  </si>
  <si>
    <t>Oba Mah Carsamba Cad 62A</t>
  </si>
  <si>
    <t>+90 538 523 51 78</t>
  </si>
  <si>
    <t>4.3/5 (4)</t>
  </si>
  <si>
    <t>Sac kesimi traş sakal bakimi</t>
  </si>
  <si>
    <t>Keine Online-Präsenz</t>
  </si>
  <si>
    <t>Starterpaket Website + Google Business</t>
  </si>
  <si>
    <t>FK Kuafor</t>
  </si>
  <si>
    <t>Oba Mah Carsamba Cad 21</t>
  </si>
  <si>
    <t>+90 536 782 33 62</t>
  </si>
  <si>
    <t>Yandex gelistet</t>
  </si>
  <si>
    <t>Sac kesimi sakal bakimi</t>
  </si>
  <si>
    <t>Starterpaket</t>
  </si>
  <si>
    <t>Schließt 21:00</t>
  </si>
  <si>
    <t>Ilyas Unver Hairdesigner</t>
  </si>
  <si>
    <t>Sekerhane Sevket Tokus CD No:56</t>
  </si>
  <si>
    <t>+90 507 156 50 30</t>
  </si>
  <si>
    <t>https://www.ilyasunver.com</t>
  </si>
  <si>
    <t>@hairdesigner_ilyasunver</t>
  </si>
  <si>
    <t>4.5/5 (Seit 2010)</t>
  </si>
  <si>
    <t>Anatomisches Schneiden Sakal Traş Maske Keratin</t>
  </si>
  <si>
    <t>Nur WhatsApp-Booking SEO ausbaufaehig</t>
  </si>
  <si>
    <t>Online-Booking-System + AI Chat</t>
  </si>
  <si>
    <t>Instagram DM</t>
  </si>
  <si>
    <t>Website Yandex</t>
  </si>
  <si>
    <t>Seit 2010 Instagram bestaetigt VIP</t>
  </si>
  <si>
    <t>Kuafoer By Oezcan</t>
  </si>
  <si>
    <t>Sekerhane Mah Kaymakli Sok No:7</t>
  </si>
  <si>
    <t>Telefon auf Yandex</t>
  </si>
  <si>
    <t>5.0/5 (92 Barberhead)</t>
  </si>
  <si>
    <t>Haarschnitt Bart Waschen Massage Hausbesuche</t>
  </si>
  <si>
    <t>Top-Bewertungen aber keine Website</t>
  </si>
  <si>
    <t>Priorisierter Vor-Ort-Besuch</t>
  </si>
  <si>
    <t>Barberhead Yandex</t>
  </si>
  <si>
    <t>Hausbesuch russischsprachiges Personal</t>
  </si>
  <si>
    <t>Fi Still Erkek Kuafoerue</t>
  </si>
  <si>
    <t>Sekerhane Cinal Sk No:16 D:b</t>
  </si>
  <si>
    <t>+90 545 619 62 20</t>
  </si>
  <si>
    <t>Barberhead</t>
  </si>
  <si>
    <t>4.9/5 (27)</t>
  </si>
  <si>
    <t>Herrenhaarschnitt Bartpflege</t>
  </si>
  <si>
    <t>Sehr gute Bewertung keine digitale Präsenz</t>
  </si>
  <si>
    <t>Website + Google Business + Review-Mgmt</t>
  </si>
  <si>
    <t>Telefonisch vorstellen</t>
  </si>
  <si>
    <t>Barberhead Alanya.gen.tr</t>
  </si>
  <si>
    <t>Keskin Makas Erkek Kuafoerue</t>
  </si>
  <si>
    <t>Sekerhane Mah Rektoer Sipahioglu Sok 4</t>
  </si>
  <si>
    <t>5.0/5 (1)</t>
  </si>
  <si>
    <t>Herrenhaarschnitt Rasur</t>
  </si>
  <si>
    <t>Minimale Online-Präsenz</t>
  </si>
  <si>
    <t>Mehmet Gabakci</t>
  </si>
  <si>
    <t>Sekerhane Kasapoglu Sk No:19</t>
  </si>
  <si>
    <t>4.5/5 (4)</t>
  </si>
  <si>
    <t>Keine Website</t>
  </si>
  <si>
    <t>Yanki Erkek Berberi</t>
  </si>
  <si>
    <t>Sekerhane Tevfikiye Cad 28</t>
  </si>
  <si>
    <t>C - Spaeter</t>
  </si>
  <si>
    <t>Koesk Berber</t>
  </si>
  <si>
    <t>Sekerhane Sevket Tokus Cd 41</t>
  </si>
  <si>
    <t>5.0/5 (2)</t>
  </si>
  <si>
    <t>Spaeter pruefen</t>
  </si>
  <si>
    <t>Aydin Erkek Kuafoerue</t>
  </si>
  <si>
    <t>Sekerhane 07400 Alanya</t>
  </si>
  <si>
    <t>Alanya-GO</t>
  </si>
  <si>
    <t>Alanya-GO gelistet</t>
  </si>
  <si>
    <t>Adresse unklar</t>
  </si>
  <si>
    <t>Güller Pinari</t>
  </si>
  <si>
    <t>Mavi Deniz Erkek Kuafoerue</t>
  </si>
  <si>
    <t>Güller Pinari Mah Navalioglu Sok 9/A</t>
  </si>
  <si>
    <t>+90 536 584 94 64</t>
  </si>
  <si>
    <t>4.9/5 (92 Yandex)</t>
  </si>
  <si>
    <t>Herrenhaarschnitt Bart Rasur</t>
  </si>
  <si>
    <t>Top-Bewertungen sehr beliebt keine Website</t>
  </si>
  <si>
    <t>Yandex Alanya.gen.tr</t>
  </si>
  <si>
    <t>Taeglich 08:30-21:00 sehr beliebt</t>
  </si>
  <si>
    <t>Prime Alanya Barber Shop</t>
  </si>
  <si>
    <t>Kizlar Pinari Mah Yildiz Sok No:3</t>
  </si>
  <si>
    <t>+90 539 355 60 50</t>
  </si>
  <si>
    <t>5.0/5 (32)</t>
  </si>
  <si>
    <t>Haarschnitt Kinder Color Highlights Bart Hausbesuch</t>
  </si>
  <si>
    <t>Gute Bewertungen Hausbesuch-Service</t>
  </si>
  <si>
    <t>Website + Booking-System</t>
  </si>
  <si>
    <t>WhatsApp kontaktieren</t>
  </si>
  <si>
    <t>Hausbesuch Behindertenparkplatz WLAN</t>
  </si>
  <si>
    <t>Bora Kuafor</t>
  </si>
  <si>
    <t>Kadipasa Hayate Hanim Cad No:12</t>
  </si>
  <si>
    <t>(0242) 511 77 95</t>
  </si>
  <si>
    <t>Gelistet</t>
  </si>
  <si>
    <t>Herren-/Damenhaarschnitt</t>
  </si>
  <si>
    <t>Yandex 07haber</t>
  </si>
  <si>
    <t>Club Barber Tan</t>
  </si>
  <si>
    <t>Güller Pinari Mah Yenilmez Cad 48F</t>
  </si>
  <si>
    <t>+90 506 343 62 95</t>
  </si>
  <si>
    <t>4.2/5 (5)</t>
  </si>
  <si>
    <t>Saray</t>
  </si>
  <si>
    <t>Viking Hair Club</t>
  </si>
  <si>
    <t>Saray Mah Midye Sk No:9</t>
  </si>
  <si>
    <t>+90 506 934 87 26</t>
  </si>
  <si>
    <t>4.9/5 (35)</t>
  </si>
  <si>
    <t>Cut Color Balayage Keratin Extensions Makeup</t>
  </si>
  <si>
    <t>Nur Wheree-Menue kein eigenes Booking</t>
  </si>
  <si>
    <t>Eigene Website + Booking + AI Chat</t>
  </si>
  <si>
    <t>Kontakt über Phone</t>
  </si>
  <si>
    <t>Free Pick-up Multi-Currency EN/RU</t>
  </si>
  <si>
    <t>Goelgen Hair Beauty</t>
  </si>
  <si>
    <t>Saray Mah Cangal Sok</t>
  </si>
  <si>
    <t>Google Maps</t>
  </si>
  <si>
    <t>4.7/5 (347 Google)</t>
  </si>
  <si>
    <t>Haarschnitt Color Bart Pflege</t>
  </si>
  <si>
    <t>347 Reviews sehr bekannt keine Website</t>
  </si>
  <si>
    <t>Komplettpaket + Review-Management</t>
  </si>
  <si>
    <t>347 Reviews - sehr bekannt</t>
  </si>
  <si>
    <t>Aydin Barbers</t>
  </si>
  <si>
    <t>Saray Mah Cangal Sok No:5/B</t>
  </si>
  <si>
    <t>5.0/5 (25)</t>
  </si>
  <si>
    <t>Sehr gute Bewertung keine Website</t>
  </si>
  <si>
    <t>Website + Google Business</t>
  </si>
  <si>
    <t>Yilmaz Berber</t>
  </si>
  <si>
    <t>Saray Damlatas Cd No:56/C</t>
  </si>
  <si>
    <t>+90 242 512 06 06</t>
  </si>
  <si>
    <t>4.2/5 (4)</t>
  </si>
  <si>
    <t>Erkek sac kesimi sakal tiras cilt bakimi</t>
  </si>
  <si>
    <t>Oemer Oezsoy Barber's Club</t>
  </si>
  <si>
    <t>Saray Mah Guelen Sok 20C</t>
  </si>
  <si>
    <t>4.0/5 (6)</t>
  </si>
  <si>
    <t>Herrenhaarschnitt Styling Bart</t>
  </si>
  <si>
    <t>Yildiz Berber</t>
  </si>
  <si>
    <t>Saray Mah Abdullah Dogan Sok No:2D</t>
  </si>
  <si>
    <t>+90 533 773 03 70</t>
  </si>
  <si>
    <t>Sac kesimi traş sakal</t>
  </si>
  <si>
    <t>Yandex</t>
  </si>
  <si>
    <t>Imran Kuafor</t>
  </si>
  <si>
    <t>Saray Mah Atatuerk Cad</t>
  </si>
  <si>
    <t>(0242) 513 99 59</t>
  </si>
  <si>
    <t>Yelp</t>
  </si>
  <si>
    <t>Yelp gelistet</t>
  </si>
  <si>
    <t>Konak Kuafor</t>
  </si>
  <si>
    <t>Saray Pelitlik Cd</t>
  </si>
  <si>
    <t>2.0/5 (1)</t>
  </si>
  <si>
    <t>Herrenhaarschnitt Bart</t>
  </si>
  <si>
    <t>Schwache Bewertung keine Praesenz</t>
  </si>
  <si>
    <t>Review-Mgmt + Website</t>
  </si>
  <si>
    <t>Niedrige Bewertung</t>
  </si>
  <si>
    <t>Oezlem Erkek Kuafoerue</t>
  </si>
  <si>
    <t>Saray Hacihamdioğlu Cd 37</t>
  </si>
  <si>
    <t>Herrenhaarschnitt</t>
  </si>
  <si>
    <t>Elite Erkek Kuafoerue</t>
  </si>
  <si>
    <t>Saray Yunus Emre Cd Onur Apt 31/D</t>
  </si>
  <si>
    <t>+90 535 395 77 85</t>
  </si>
  <si>
    <t>Mehmet Oezen Sac Tasarim</t>
  </si>
  <si>
    <t>Saray Mah Kueluer Cad 13A</t>
  </si>
  <si>
    <t>4.6/5 (Yandex)</t>
  </si>
  <si>
    <t>Haardesign Herrenhaarschnitt</t>
  </si>
  <si>
    <t>Ilarslan Hair Palace</t>
  </si>
  <si>
    <t>Saray Mah Guezel Yali Cad 26G</t>
  </si>
  <si>
    <t>+90 543 236 96 46</t>
  </si>
  <si>
    <t>YouTube Kanal</t>
  </si>
  <si>
    <t>4.7/5 (10)</t>
  </si>
  <si>
    <t>Herren Extensions Color Keratin Naegel</t>
  </si>
  <si>
    <t>YouTube aktiv aber keine Website</t>
  </si>
  <si>
    <t>Website + Social Integration</t>
  </si>
  <si>
    <t>YouTube-Kanal analysieren</t>
  </si>
  <si>
    <t>YouTube aktiv</t>
  </si>
  <si>
    <t>By Berki Erkek Kuafoerue</t>
  </si>
  <si>
    <t>Alanya Merkez</t>
  </si>
  <si>
    <t>Nur 1 Review Adresse unklar</t>
  </si>
  <si>
    <t>Favori Kuafor</t>
  </si>
  <si>
    <t>Spaeter evaluieren</t>
  </si>
  <si>
    <t>Kuafoer Soner</t>
  </si>
  <si>
    <t>4.7/5 (21)</t>
  </si>
  <si>
    <t>Herren/Damen tiras</t>
  </si>
  <si>
    <t>Keine Website trotz guter Bewertungen</t>
  </si>
  <si>
    <t>Gute Bewertungen Adresse unklar</t>
  </si>
  <si>
    <t>Mehmet Erkek Kuafoerue</t>
  </si>
  <si>
    <t>Cikcilli Mah 208 Sok No:2</t>
  </si>
  <si>
    <t>+90 541 787 87 80</t>
  </si>
  <si>
    <t>Erkek sac kesimi traş sakal</t>
  </si>
  <si>
    <t>Mustafa Berber</t>
  </si>
  <si>
    <t>Cikcilli 206 Sokak 48</t>
  </si>
  <si>
    <t>4.9/5 (13)</t>
  </si>
  <si>
    <t>Dogan Berber</t>
  </si>
  <si>
    <t>Cikcilli Haci Baba Cd 17</t>
  </si>
  <si>
    <t>EN Sac Tasarim Atoelyesi</t>
  </si>
  <si>
    <t>Bostancipinari Cd Hacet Mah No:124/A</t>
  </si>
  <si>
    <t>5.0/5 (10)</t>
  </si>
  <si>
    <t>Cut Bart Color Pflege Massage</t>
  </si>
  <si>
    <t>Social Media aktiv keine Website</t>
  </si>
  <si>
    <t>Barberhead Best of Alanya</t>
  </si>
  <si>
    <t>Seit 2009 Konzeptwechsel 2017</t>
  </si>
  <si>
    <t>By Makas Erkek Kuafoerue</t>
  </si>
  <si>
    <t>Güller Pinari Mah Hacet Cad Canlar Apt 20F</t>
  </si>
  <si>
    <t>4.9/5 (11)</t>
  </si>
  <si>
    <t>Herren/Damen Styling Color Pflege</t>
  </si>
  <si>
    <t>Alaaddin Berber Salonu</t>
  </si>
  <si>
    <t>Hacet Mah Yayla Yolu Cad 52A</t>
  </si>
  <si>
    <t>Kizlar Pinari</t>
  </si>
  <si>
    <t>MK Hair Studio</t>
  </si>
  <si>
    <t>Kizlar Pinari Mah</t>
  </si>
  <si>
    <t>5.0/5 (41 Google)</t>
  </si>
  <si>
    <t>Haarschnitt Styling Bart</t>
  </si>
  <si>
    <t>Perfekte Bewertung keine Website</t>
  </si>
  <si>
    <t>Komplettpaket</t>
  </si>
  <si>
    <t>Vor-Ort-Besuch (priorisiert)</t>
  </si>
  <si>
    <t>5.0 Sterne - Top-Prioritaet</t>
  </si>
  <si>
    <t>Fevzi Kuafor</t>
  </si>
  <si>
    <t>Kizlar Pinari Mah Atatuerk Cad 212B</t>
  </si>
  <si>
    <t>+90 242 511 55 40</t>
  </si>
  <si>
    <t>Herren/Damenhaarschnitt</t>
  </si>
  <si>
    <t>M&amp;R Hairport</t>
  </si>
  <si>
    <t>Konakli Mah</t>
  </si>
  <si>
    <t>4.8/5 (20)</t>
  </si>
  <si>
    <t>Haarschnitt Color Bart</t>
  </si>
  <si>
    <t>Gute Bewertungen Touristen kein Website</t>
  </si>
  <si>
    <t>Komplettpaket + Mehrsprachig</t>
  </si>
  <si>
    <t>Touristengebiet Konakli</t>
  </si>
  <si>
    <t>Kardesler Berber (Konakli)</t>
  </si>
  <si>
    <t>Konakli Mah Istiklal Cad 33AA</t>
  </si>
  <si>
    <t>+90 543 546 45 38</t>
  </si>
  <si>
    <t>4.1/5 (4)</t>
  </si>
  <si>
    <t>Zweigstelle von Oba</t>
  </si>
  <si>
    <t>MS Sac Tasarim Merkezi</t>
  </si>
  <si>
    <t>Tosmur Mah Eski Gazipasa Cad 35</t>
  </si>
  <si>
    <t>+90 535 588 22 67</t>
  </si>
  <si>
    <t>4.0/5 (4) 3.0/5 (15)</t>
  </si>
  <si>
    <t>Herrenhaarschnitt klassisch modern Bart</t>
  </si>
  <si>
    <t>Uneinheitliche Bewertungen</t>
  </si>
  <si>
    <t>Yandex Alanya GO</t>
  </si>
  <si>
    <t>Zavlak Berber</t>
  </si>
  <si>
    <t>Tosmur Eski Gazipasa Cd</t>
  </si>
  <si>
    <t>Sugoetzue</t>
  </si>
  <si>
    <t>Isa Kuafor</t>
  </si>
  <si>
    <t>Sugoetzue Cad No:71</t>
  </si>
  <si>
    <t>+90 242 522 22 72</t>
  </si>
  <si>
    <t>Kadipasa</t>
  </si>
  <si>
    <t>Guenes Erkek Kuafoerue</t>
  </si>
  <si>
    <t>Kadipasa Mah Cueceler Sok 3C</t>
  </si>
  <si>
    <t>+90 552 573 15 40</t>
  </si>
  <si>
    <t>Lokaler Kunde geringe Touristen</t>
  </si>
  <si>
    <t>Mehrere Standorte</t>
  </si>
  <si>
    <t>Kargicak</t>
  </si>
  <si>
    <t>Guenes Kuafor (Kargicak)</t>
  </si>
  <si>
    <t>Kargicak Mah</t>
  </si>
  <si>
    <t>Wenig Daten</t>
  </si>
  <si>
    <t>Minimal Daten</t>
  </si>
  <si>
    <t>Field-Sales Route Plan - Alanya Barber Shops</t>
  </si>
  <si>
    <t>Optimierte Besuchsreihenfolge fuer Fussmarsch-Routen pro Bezirk</t>
  </si>
  <si>
    <t>Tag 1 - Vormittag: Sekerhane (8 Leads)</t>
  </si>
  <si>
    <t>Parken:</t>
  </si>
  <si>
    <t>Parkplatz Sekerhane Sevket Tokues Cad</t>
  </si>
  <si>
    <t>Leads:</t>
  </si>
  <si>
    <t>Top 5:</t>
  </si>
  <si>
    <t>1. Kuafoer By Oezcan - 5.0* (92)
2. Ilyas Unver - Website seit 2010
3. Fi Still - 4.9* (27)
4. Keskin Makas - 5.0*
5. Mehmet Gabakci</t>
  </si>
  <si>
    <t>Route:</t>
  </si>
  <si>
    <t>Sevket Tokues Cad - Kaymakli Sok - Sipahioglu Sok - Kasapoglu Sok</t>
  </si>
  <si>
    <t>Notiz:</t>
  </si>
  <si>
    <t>Sehr dichte Konzentration. 5 Top-Leads in 400m. Alle ohne Website = hohe Conversion.</t>
  </si>
  <si>
    <t>Tag 1 - Nachmittag: Saray / Merkez (15 Leads)</t>
  </si>
  <si>
    <t>Cleopatra Beach Parkplatz</t>
  </si>
  <si>
    <t>1. Viking Hair Club - 4.9* Free Pick-up
2. Goelgen - 4.7* (347 Reviews)
3. Aydin Barbers - 5.0* (25)
4. Yilmaz Berber - Damlatas Cd
5. Mehmet Oezen</t>
  </si>
  <si>
    <t>Cangal Sok - Damlatas Cd - Guelen Sok - Guezel Yali Cad - Kueluer Cad</t>
  </si>
  <si>
    <t>Groesster Bezirk. Goelgen 347 Reviews = sehr bekannt. Viking ist Premium-Ziel.</t>
  </si>
  <si>
    <t>Tag 2 - Vormittag: Oba (5 Leads)</t>
  </si>
  <si>
    <t>Alanyum Shopping Mall Parkplatz</t>
  </si>
  <si>
    <t>1. Kerim Guven - 5.0* (254) Premium
2. Hair Studio Eyuep - 4.6* Coloring
3. Yusuf Berber - Website Instagram
4. Kardesler Berber
5. FK Kuafor</t>
  </si>
  <si>
    <t>Carsamba Cad - Fabrika Cd - Karakues Sok - Eski Gazipasa Cd</t>
  </si>
  <si>
    <t>Touristen-Bezirk. Kerim hat beste digitale Praesenz = Upsell-Ziel.</t>
  </si>
  <si>
    <t>Tag 2 - Nachmittag: Gueller Pınari (4 Leads)</t>
  </si>
  <si>
    <t>Gueller Pınari Mah Parkplatz</t>
  </si>
  <si>
    <t>1. Mavi Deniz - 4.9* (92) sehr beliebt
2. Prime Alanya - 5.0* Hausbesuch
3. Club Barber Tan
4. Bora Kuafor</t>
  </si>
  <si>
    <t>Navalioglu Sok - Yildiz Sok - Yenilmez Cad - Hayate Hanim Cad</t>
  </si>
  <si>
    <t>Mavi Deniz ist Top-Quick-Win: 92 Reviews keine Website.</t>
  </si>
  <si>
    <t>Tag 3 - Vormittag: Mahmutlar (3 Leads)</t>
  </si>
  <si>
    <t>Mahmutlar Merkez Atatuerk Cad</t>
  </si>
  <si>
    <t>1. King Barbershop - 5.0* Premium
2. Kuafor Tevfik - 4.4* 24h
3. Caglar Kuafor - 15+ Jahre</t>
  </si>
  <si>
    <t>119 St - 248 Sok - Cumhuriyet Mah</t>
  </si>
  <si>
    <t>Tevfik 24h = einzigartig. King hat Website aber nur WhatsApp-Booking.</t>
  </si>
  <si>
    <t>Tag 3 - Nachmittag: Cikcilli (3 Leads)</t>
  </si>
  <si>
    <t>Cikcilli Merkez 206 Sokak</t>
  </si>
  <si>
    <t>1. Mustafa Berber - 4.9* (13)
2. Mehmet Erkek
3. Dogan Berber</t>
  </si>
  <si>
    <t>208 Sok - 206 Sokak - Haci Baba Cd</t>
  </si>
  <si>
    <t>Kleiner Bezirk schnell abzuarbeiten. Mustafa sehr gute Bewertungen.</t>
  </si>
  <si>
    <t>Tag 4: Hacet + Kizlar Pınari (5 Leads)</t>
  </si>
  <si>
    <t>Hacet Bostancipinari Cad</t>
  </si>
  <si>
    <t>1. EN Sac Tasarim - 5.0* seit 2009
2. By Makas - 4.9* (11)
3. MK Hair Studio - 5.0* (41)
4. Fevzi Kuafor
5. Alaaddin Berber</t>
  </si>
  <si>
    <t>Bostancipinari Cd - Hacet Cad - Yayla Yolu - Atatuerk Cad</t>
  </si>
  <si>
    <t>MK Hair Studio perfekte 5.0* = Top-Quick-Win.</t>
  </si>
  <si>
    <t>Tag 5: Konaklı + Tosmur (4 Leads)</t>
  </si>
  <si>
    <t>Konaklı Istiklal Cad Parkplatz</t>
  </si>
  <si>
    <t>1. M&amp;R Hairport - 4.8* (20) Touristen
2. Kardesler Konaklı
3. MS Sac Tasarim
4. Zavlak Berber</t>
  </si>
  <si>
    <t>Konaklı Istiklal Cad - Tosmur Eski Gazipasa Cd</t>
  </si>
  <si>
    <t>Konaklı ist Touristen-Hochburg. Auto erforderlich.</t>
  </si>
  <si>
    <t>Token-Kostenrechner - Aktuelle Modelle Juni 2026</t>
  </si>
  <si>
    <t>Nur aktuelle Frontier-Modelle | Alle Preise verifiziert Juni 2026 | Blaue Felder = editierbar</t>
  </si>
  <si>
    <t>EUR/USD:</t>
  </si>
  <si>
    <t>1. Aktuelle API-Preise pro 1 Million Tokens | Stand 25. Juni 2026</t>
  </si>
  <si>
    <t>Modell</t>
  </si>
  <si>
    <t>Anbieter</t>
  </si>
  <si>
    <t>Input $/1M</t>
  </si>
  <si>
    <t>Output $/1M</t>
  </si>
  <si>
    <t>Cached $/1M</t>
  </si>
  <si>
    <t>Input EUR/1M</t>
  </si>
  <si>
    <t>Output EUR/1M</t>
  </si>
  <si>
    <t>Kontext</t>
  </si>
  <si>
    <t>Release</t>
  </si>
  <si>
    <t>Best fuer</t>
  </si>
  <si>
    <t>Claude Opus 4.8</t>
  </si>
  <si>
    <t>Anthropic</t>
  </si>
  <si>
    <t>1M</t>
  </si>
  <si>
    <t>Mai 2026</t>
  </si>
  <si>
    <t>Beste Qualitaet, Coding, Agenten</t>
  </si>
  <si>
    <t>GPT-5.5 Pro</t>
  </si>
  <si>
    <t>OpenAI</t>
  </si>
  <si>
    <t>Juni 2026</t>
  </si>
  <si>
    <t>Ultra-Premium, komplexeste Aufgaben</t>
  </si>
  <si>
    <t>GPT-5.5</t>
  </si>
  <si>
    <t>1M (400K Codex)</t>
  </si>
  <si>
    <t>Flagship, Agenten, Reasoning</t>
  </si>
  <si>
    <t>Claude Sonnet 4.6</t>
  </si>
  <si>
    <t>Bestes Preis-Leistung, Coding</t>
  </si>
  <si>
    <t>GPT-5.4</t>
  </si>
  <si>
    <t>400K</t>
  </si>
  <si>
    <t>Aug 2025</t>
  </si>
  <si>
    <t>General-Purpose, gute Balance</t>
  </si>
  <si>
    <t>DeepSeek V4 Pro</t>
  </si>
  <si>
    <t>DeepSeek</t>
  </si>
  <si>
    <t>Guenstigster, 80.6% SWE-bench</t>
  </si>
  <si>
    <t>2. Projekt-Schaetzer - Wie viel kostet meine Anforderung?</t>
  </si>
  <si>
    <t>So funktionierts: Waehlen Sie ein Modell (Zeile 8-13), schaetzen Sie Tokens in Millionen, Excel rechnet.</t>
  </si>
  <si>
    <t>Projekt / Anforderung</t>
  </si>
  <si>
    <t>Modell (Zeile)</t>
  </si>
  <si>
    <t>Input Mio</t>
  </si>
  <si>
    <t>Output Mio</t>
  </si>
  <si>
    <t>Cached Mio</t>
  </si>
  <si>
    <t>Input-Kosten</t>
  </si>
  <si>
    <t>Output-Kosten</t>
  </si>
  <si>
    <t>Cached-Kosten</t>
  </si>
  <si>
    <t>GESAMT</t>
  </si>
  <si>
    <t>Sicherheit</t>
  </si>
  <si>
    <t>CRM: Neue Lead-Seite erstellen</t>
  </si>
  <si>
    <t>Schaetzung</t>
  </si>
  <si>
    <t>Landingpage: Tuerkisch uebersetzen</t>
  </si>
  <si>
    <t>AI-Chat: Barber-Intents trainieren</t>
  </si>
  <si>
    <t>Unsicher</t>
  </si>
  <si>
    <t>SEO: 50 Barbieren analysieren</t>
  </si>
  <si>
    <t>Erfahrungswert</t>
  </si>
  <si>
    <t>Template: 5-Seiten Barber-Website</t>
  </si>
  <si>
    <t>Review-Monitoring automatisieren</t>
  </si>
  <si>
    <t>3. Schnell-Referenz: Wie viele Tokens braucht man fuer...?</t>
  </si>
  <si>
    <t>Einfacher Bug-Fix</t>
  </si>
  <si>
    <t>~400K Input / ~10K Output</t>
  </si>
  <si>
    <t>~25 API-Calls, 75% Cache</t>
  </si>
  <si>
    <t>Neues Feature implementieren</t>
  </si>
  <si>
    <t>~2M Input / ~40K Output</t>
  </si>
  <si>
    <t>~100 Calls, 80% Cache</t>
  </si>
  <si>
    <t>Webseite uebersetzen (TR-DE)</t>
  </si>
  <si>
    <t>~500K Input / ~200K Output</t>
  </si>
  <si>
    <t>~10 API-Calls</t>
  </si>
  <si>
    <t>AI-Chat Training (50 Intents)</t>
  </si>
  <si>
    <t>~1-3M Input / ~200K Output</t>
  </si>
  <si>
    <t>Batch-Verarbeitung</t>
  </si>
  <si>
    <t>SEO-Analyse pro Website</t>
  </si>
  <si>
    <t>~50K Input / ~5K Output</t>
  </si>
  <si>
    <t>~1 API-Call</t>
  </si>
  <si>
    <t>Code-Review einer Datei</t>
  </si>
  <si>
    <t>~100K Input / ~20K Output</t>
  </si>
  <si>
    <t>~5 API-Calls</t>
  </si>
  <si>
    <t>Landingpage HTML/CSS erstellen</t>
  </si>
  <si>
    <t>~300K Input / ~100K Output</t>
  </si>
  <si>
    <t>~20 API-Calls</t>
  </si>
  <si>
    <t xml:space="preserve"> Quellen der Preisdaten</t>
  </si>
  <si>
    <t>- Anthropic API Pricing (anthropic.com/pricing) - Stand 25. Juni 2026</t>
  </si>
  <si>
    <t>- OpenAI API Pricing (openai.com/pricing) - Stand 25. Juni 2026</t>
  </si>
  <si>
    <t>- PricePerToken.com - Stand 25. Juni 2026</t>
  </si>
  <si>
    <t>- MorphLLM AI Coding Costs (morphllm.com) - Stand 18. Juni 2026</t>
  </si>
  <si>
    <t>- SurePrompts AI Models 2026 (sureprompts.com) - Stand 17. Juni 2026</t>
  </si>
  <si>
    <t>Angebot &amp; Umsatz</t>
  </si>
  <si>
    <t>1. Verkaufspakete</t>
  </si>
  <si>
    <t>Starter</t>
  </si>
  <si>
    <t>5-Seiten Website + Google Business + WhatsApp + SEO</t>
  </si>
  <si>
    <t>Kleine Barbiere</t>
  </si>
  <si>
    <t>Professional</t>
  </si>
  <si>
    <t>Multi-Lingual + Booking + AI-Chat + SEO/GEO</t>
  </si>
  <si>
    <t>Mittlere/Touristen</t>
  </si>
  <si>
    <t>Premium</t>
  </si>
  <si>
    <t>Alles aus Pro + Review-Mgmt + Analytics + VIP</t>
  </si>
  <si>
    <t>Grosse Salons</t>
  </si>
  <si>
    <t>2. Kosten &amp; Marge - EDITIERBAR</t>
  </si>
  <si>
    <t>Paket</t>
  </si>
  <si>
    <t>Dev-Stunden</t>
  </si>
  <si>
    <t>Stundensatz</t>
  </si>
  <si>
    <t>Dev-Kosten</t>
  </si>
  <si>
    <t>Gesamt-Kosten</t>
  </si>
  <si>
    <t>VK-Preis</t>
  </si>
  <si>
    <t>Marge</t>
  </si>
  <si>
    <t>Marge %</t>
  </si>
  <si>
    <t>3. Umsatz-Prognose</t>
  </si>
  <si>
    <t>Leads gesamt</t>
  </si>
  <si>
    <t>Conversion Rate</t>
  </si>
  <si>
    <t>Deal-Wert EUR</t>
  </si>
  <si>
    <t>Monatlich/Kunde EUR</t>
  </si>
  <si>
    <t>Monate</t>
  </si>
  <si>
    <t>Geschlossene Deals</t>
  </si>
  <si>
    <t>Einmaliger Umsatz</t>
  </si>
  <si>
    <t>Wiederkehrend J1</t>
  </si>
  <si>
    <t>GESAMT JAHR 1</t>
  </si>
  <si>
    <t>Landing Page Content - Tuerkisch (TR)</t>
  </si>
  <si>
    <t>HERO HEADLINE</t>
  </si>
  <si>
    <t>Ana: Daha Fazla Musteri, Daha Az Bekleme - Dijital Berberlik
Alt: Alanya'da Berber ve Kuafoerler Icin Oezel Dijital Coezuemler</t>
  </si>
  <si>
    <t>PAIN POINTS</t>
  </si>
  <si>
    <t>- Telefon suerekli caliyor, randevu icin sekreter yok
- Turist musteriler dil bariyeri yuezunden baska yere gidiyor
- Instagram'da guzel fotograf var ama musteri doenuesuemue yok
- Google'da araniyorsunuz ama web siteniz yok
- Mesai saatleri disinda randevu alinamiyor
- Rakipleriniz Booking.com kullaniyor - siz hala kagit defter</t>
  </si>
  <si>
    <t>PAKET 1 - BASLANGIC</t>
  </si>
  <si>
    <t>- Modern mobil uyumlu web sitesi (5 sayfa)
- Google Isletme Profili kurulum
- WhatsApp randevu butonu
- Temel SEO
Fiyat: 5.000-8.000 TL (95-150 EUR)</t>
  </si>
  <si>
    <t>PAKET 2 - PROFESYONEL</t>
  </si>
  <si>
    <t>- Coek dilli web sitesi (TR+EN+RU/DE)
- Online randevu sistemi
- AI chat asistan (7/24)
- Foto galerisi
- Gelismis SEO+GEO
Fiyat: 15.000-25.000 TL (285-470 EUR)</t>
  </si>
  <si>
    <t>PAKET 3 - PREMIUM</t>
  </si>
  <si>
    <t>- Tam oezellikli web sitesi + randevu + AI chat
- Instagram entegrasyonu
- Yorum yoenetimi
- Aylik SEO raporu
Fiyat: 25.000-40.000 TL (470-755 EUR)</t>
  </si>
  <si>
    <t>BEFORE/AFTER</t>
  </si>
  <si>
    <t>OncesI: Web sitesi yok, telefonla randevu, turist kaybi, mesai disi kapali
SonrasI: Google'da 1. sayfa, 7/24 online randevu, coek dilli, AI asistan</t>
  </si>
  <si>
    <t>TRUST</t>
  </si>
  <si>
    <t>- Alanya'da 50+ berber analiz edildi
- %90'inin web sitesi yok
- 4.5 milyon yillik turist
- 7 guen icinde web siteniz yayinda
- Oemuer boyu teknik destek</t>
  </si>
  <si>
    <t>CTA</t>
  </si>
  <si>
    <t>Ana: UCRETSIZ DANISMANLIK AL - 15 dk telefon
Ikincil: FIYAT TEKLIFI AL - 24 saat icinde
Aciliyet: Bu ay sadece 5 berber alyoruz</t>
  </si>
  <si>
    <t>WHATSAPP CTA</t>
  </si>
  <si>
    <t>WhatsApp: +90 XXX XXX XX XX
Mesaj: 'Merhaba, Alanya berber dijital paketi hakkinda bilgi almak istiyorum'
Tek tikla WhatsApp Business</t>
  </si>
  <si>
    <t>FAQ</t>
  </si>
  <si>
    <t>S: Web sitem ne zaman hazir? C: 7 is guenue
S: Teknik bilgim yok? C: Panel cok basit
S: Turist musterilere nasil ulasacagim? C: Coek delli site
S: Oedeme? C: %50 baslangic, %50 teslimat
S: Iptal? C: 30 guen para iadesi garantisi</t>
  </si>
  <si>
    <t>DESIGNER HANDOFF</t>
  </si>
  <si>
    <t>Sayfa yapisi: Hero + Pain Points + Before/After + 3 Paket + Randevu Demo + AI Chat Demo + Google Goesterimi + Trust + Harita + FAQ + CTA Footer
Renk: Lacivert #1B3A5C, Altin #D4A843, Yesil #2E7D32
Teknoloji: Next.js, Responsive, SSR SEO</t>
  </si>
  <si>
    <t>Quellen &amp; Annahmen</t>
  </si>
  <si>
    <t>Thema</t>
  </si>
  <si>
    <t>Link</t>
  </si>
  <si>
    <t>Genutzte Daten</t>
  </si>
  <si>
    <t>Vertrauen</t>
  </si>
  <si>
    <t>Geprueft</t>
  </si>
  <si>
    <t>Kommentar</t>
  </si>
  <si>
    <t>Alanya Nuefus</t>
  </si>
  <si>
    <t>TUIK 2024</t>
  </si>
  <si>
    <t>mansetalanya.com</t>
  </si>
  <si>
    <t>Mahalle bazli nuefus</t>
  </si>
  <si>
    <t>2026-06</t>
  </si>
  <si>
    <t>Resmi istatistik</t>
  </si>
  <si>
    <t>Alanya Turizm</t>
  </si>
  <si>
    <t>ALTID</t>
  </si>
  <si>
    <t>altid.org.tr</t>
  </si>
  <si>
    <t>4.5-5 milyon yillik turist</t>
  </si>
  <si>
    <t>Turizm dernegi</t>
  </si>
  <si>
    <t>Esnaf Istatistik</t>
  </si>
  <si>
    <t>TESK</t>
  </si>
  <si>
    <t>esnafkoop.ticaret.gov.tr</t>
  </si>
  <si>
    <t>2.55M esnaf</t>
  </si>
  <si>
    <t>Resmi konfederasyon</t>
  </si>
  <si>
    <t>Berber Fiyat 2025</t>
  </si>
  <si>
    <t>Antalya Berberler Odasi</t>
  </si>
  <si>
    <t>atonet.org.tr</t>
  </si>
  <si>
    <t>2025 tarife</t>
  </si>
  <si>
    <t>Resmi oda</t>
  </si>
  <si>
    <t>Barber Listeleri</t>
  </si>
  <si>
    <t>yandex.com.tr/maps</t>
  </si>
  <si>
    <t>Isletme listeleri</t>
  </si>
  <si>
    <t>Kullanici degerlendirmeleri</t>
  </si>
  <si>
    <t>barberhead.com/alanya</t>
  </si>
  <si>
    <t>Premium berber listesi</t>
  </si>
  <si>
    <t>Sektorel dizin</t>
  </si>
  <si>
    <t>alanya-go.com</t>
  </si>
  <si>
    <t>Yerel rehber</t>
  </si>
  <si>
    <t>Token Preise</t>
  </si>
  <si>
    <t>Anthropic API</t>
  </si>
  <si>
    <t>anthropic.com/pricing</t>
  </si>
  <si>
    <t>Claude Opus 4.8 $5/$25</t>
  </si>
  <si>
    <t>2026-06-25</t>
  </si>
  <si>
    <t>Resmi API pricing</t>
  </si>
  <si>
    <t>OpenAI API</t>
  </si>
  <si>
    <t>openai.com/pricing</t>
  </si>
  <si>
    <t>GPT-5.5 Pro $30/$180</t>
  </si>
  <si>
    <t>PricePerToken</t>
  </si>
  <si>
    <t>pricepertoken.com</t>
  </si>
  <si>
    <t>Vergleichstabellen</t>
  </si>
  <si>
    <t>Aggregator</t>
  </si>
  <si>
    <t>MorphLLM</t>
  </si>
  <si>
    <t>morphllm.com</t>
  </si>
  <si>
    <t>AI Coding Costs Benchmarks</t>
  </si>
  <si>
    <t>2026-06-18</t>
  </si>
  <si>
    <t>Benchmark-Report</t>
  </si>
  <si>
    <t>SurePrompts</t>
  </si>
  <si>
    <t>sureprompts.com</t>
  </si>
  <si>
    <t>AI Models 2026 Vergleich</t>
  </si>
  <si>
    <t>2026-06-17</t>
  </si>
  <si>
    <t>Vergleichsportal</t>
  </si>
  <si>
    <t>Website Maliyet TR</t>
  </si>
  <si>
    <t>Nagdos</t>
  </si>
  <si>
    <t>nagdos.com</t>
  </si>
  <si>
    <t>Web tasarim fiyatlari</t>
  </si>
  <si>
    <t>Pazar arastirmasi</t>
  </si>
  <si>
    <t>Doviz Kuru</t>
  </si>
  <si>
    <t>ECB</t>
  </si>
  <si>
    <t>ecb.europa.eu</t>
  </si>
  <si>
    <t>~0.93 EUR/USD</t>
  </si>
  <si>
    <t>ECB resmi</t>
  </si>
  <si>
    <t xml:space="preserve"> Wichtige Annahmen</t>
  </si>
  <si>
    <t>1. BERBER SAYISI: 250-450 Barbieren basiert auf TESK-Ratios. Keine offizielle Liste verfuegbar.</t>
  </si>
  <si>
    <t>2. WEBSITE-ADOPTION: 80-90% ohne Website = Schaetzung (45/50 = 90% in Stichprobe).</t>
  </si>
  <si>
    <t>3. TOKEN-PREISE: Alle Preise sind oeffentliche API-Preise (25. Juni 2026). Subscription-Plaene (Claude Pro $20/mo) koennen guenstiger sein.</t>
  </si>
  <si>
    <t>4. GPT-5.5 PRO: $30/$180 ist der hoechste oeffentliche API-Preis. Fuer die meisten CRM-Aufgaben ist Sonnet 4.6 oder GPT-5.4 ausreichend.</t>
  </si>
  <si>
    <t>5. CONVERSION-RATE: 15% ist ein B2B-Industriestandard, nicht spezifisch verifiziert.</t>
  </si>
  <si>
    <t>6. OFFIZIELLE LISTEN: Weder Alanya Belediyesi noch ALESO veroeffentlichen Online-Mitgliederlisten.</t>
  </si>
  <si>
    <t>7. BEWERTUNGEN: Stammen von oeffentlichen Plattformen - nicht unabhaengig geprueft.</t>
  </si>
  <si>
    <t>8. DeepSeek V4 Pro: Preise gelten fuer Serverless-API. Viele Provider quantisieren auf fp8 was Qualitaet mindert.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</si>
</sst>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EUR&quot;"/>
    <numFmt numFmtId="165" formatCode="\$#,##0.000"/>
    <numFmt numFmtId="166" formatCode="\$#,##0.00"/>
    <numFmt numFmtId="167" formatCode="\$#,##0.0000"/>
    <numFmt numFmtId="168" formatCode="#,##0.00&quot; EUR&quot;"/>
    <numFmt numFmtId="169" formatCode="#,##0&quot; TL&quot;"/>
  </numFmts>
  <fonts count="28" x14ac:knownFonts="1">
    <font>
      <sz val="11"/>
      <color rgb="FF000000"/>
      <name val="Calibri"/>
      <family val="2"/>
      <charset val="1"/>
    </font>
    <font>
      <b/>
      <sz val="18"/>
      <color rgb="FF1B3A5C"/>
      <name val="Cambria"/>
      <charset val="1"/>
    </font>
    <font>
      <i/>
      <sz val="10"/>
      <color rgb="FF666666"/>
      <name val="Cambria"/>
      <charset val="1"/>
    </font>
    <font>
      <b/>
      <sz val="20"/>
      <color rgb="FF1B3A5C"/>
      <name val="Cambria"/>
      <charset val="1"/>
    </font>
    <font>
      <sz val="9"/>
      <color rgb="FF555555"/>
      <name val="Cambria"/>
      <charset val="1"/>
    </font>
    <font>
      <b/>
      <sz val="12"/>
      <color rgb="FFFFFFFF"/>
      <name val="Cambria"/>
      <charset val="1"/>
    </font>
    <font>
      <sz val="10"/>
      <color rgb="FF212121"/>
      <name val="Cambria"/>
      <charset val="1"/>
    </font>
    <font>
      <b/>
      <sz val="10"/>
      <color rgb="FF212121"/>
      <name val="Cambria"/>
      <charset val="1"/>
    </font>
    <font>
      <i/>
      <sz val="9"/>
      <color rgb="FF666666"/>
      <name val="Cambria"/>
      <charset val="1"/>
    </font>
    <font>
      <b/>
      <sz val="9"/>
      <color rgb="FFFFFFFF"/>
      <name val="Cambria"/>
      <charset val="1"/>
    </font>
    <font>
      <b/>
      <sz val="10"/>
      <color rgb="FFFFFFFF"/>
      <name val="Cambria"/>
      <charset val="1"/>
    </font>
    <font>
      <sz val="9"/>
      <color rgb="FF212121"/>
      <name val="Cambria"/>
      <charset val="1"/>
    </font>
    <font>
      <b/>
      <sz val="16"/>
      <color rgb="FF1B3A5C"/>
      <name val="Cambria"/>
      <charset val="1"/>
    </font>
    <font>
      <b/>
      <sz val="11"/>
      <color rgb="FFFFFFFF"/>
      <name val="Cambria"/>
      <charset val="1"/>
    </font>
    <font>
      <b/>
      <sz val="10"/>
      <color rgb="FF0066CC"/>
      <name val="Cambria"/>
      <charset val="1"/>
    </font>
    <font>
      <sz val="10"/>
      <color rgb="FF2E7D32"/>
      <name val="Cambria"/>
      <charset val="1"/>
    </font>
    <font>
      <b/>
      <sz val="10"/>
      <color rgb="FF1B3A5C"/>
      <name val="Cambria"/>
      <charset val="1"/>
    </font>
    <font>
      <sz val="9"/>
      <color rgb="FFE65100"/>
      <name val="Cambria"/>
      <charset val="1"/>
    </font>
    <font>
      <sz val="9"/>
      <color rgb="FF2E7D32"/>
      <name val="Cambria"/>
      <charset val="1"/>
    </font>
    <font>
      <b/>
      <sz val="11"/>
      <color rgb="FF1B3A5C"/>
      <name val="Cambria"/>
      <charset val="1"/>
    </font>
    <font>
      <b/>
      <sz val="12"/>
      <color rgb="FF1B3A5C"/>
      <name val="Cambria"/>
      <charset val="1"/>
    </font>
    <font>
      <sz val="9"/>
      <color rgb="FF666666"/>
      <name val="Cambria"/>
      <charset val="1"/>
    </font>
    <font>
      <b/>
      <sz val="11"/>
      <color rgb="FF2E7D32"/>
      <name val="Cambria"/>
      <charset val="1"/>
    </font>
    <font>
      <b/>
      <sz val="12"/>
      <color rgb="FF2E7D32"/>
      <name val="Cambria"/>
      <charset val="1"/>
    </font>
    <font>
      <b/>
      <sz val="14"/>
      <color rgb="FF1B3A5C"/>
      <name val="Cambria"/>
      <charset val="1"/>
    </font>
    <font>
      <sz val="8"/>
      <color rgb="FF0066CC"/>
      <name val="Cambria"/>
      <charset val="1"/>
    </font>
    <font>
      <b/>
      <sz val="9"/>
      <color rgb="FF2E7D32"/>
      <name val="Cambria"/>
      <charset val="1"/>
    </font>
    <font>
      <b/>
      <sz val="9"/>
      <color rgb="FFF9A825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FF8E1"/>
        <bgColor rgb="FFFFF3E0"/>
      </patternFill>
    </fill>
    <fill>
      <patternFill patternType="solid">
        <fgColor rgb="FF1B3A5C"/>
        <bgColor rgb="FF212121"/>
      </patternFill>
    </fill>
    <fill>
      <patternFill patternType="solid">
        <fgColor rgb="FF2E5A8C"/>
        <bgColor rgb="FF555555"/>
      </patternFill>
    </fill>
    <fill>
      <patternFill patternType="solid">
        <fgColor rgb="FFF9F9F9"/>
        <bgColor rgb="FFFFFFFF"/>
      </patternFill>
    </fill>
    <fill>
      <patternFill patternType="solid">
        <fgColor rgb="FFC8E6C9"/>
        <bgColor rgb="FFE0E0E0"/>
      </patternFill>
    </fill>
  </fills>
  <borders count="3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6" fillId="0" borderId="0" xfId="0" applyFont="1"/>
    <xf numFmtId="0" fontId="4" fillId="0" borderId="0" xfId="0" applyFont="1" applyAlignment="1">
      <alignment horizontal="center"/>
    </xf>
    <xf numFmtId="0" fontId="7" fillId="0" borderId="2" xfId="0" applyFont="1" applyBorder="1"/>
    <xf numFmtId="0" fontId="8" fillId="0" borderId="2" xfId="0" applyFont="1" applyBorder="1" applyAlignment="1">
      <alignment horizontal="center"/>
    </xf>
    <xf numFmtId="0" fontId="9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3" borderId="2" xfId="0" applyFont="1" applyFill="1" applyBorder="1"/>
    <xf numFmtId="164" fontId="11" fillId="3" borderId="2" xfId="0" applyNumberFormat="1" applyFont="1" applyFill="1" applyBorder="1"/>
    <xf numFmtId="0" fontId="11" fillId="6" borderId="2" xfId="0" applyFont="1" applyFill="1" applyBorder="1"/>
    <xf numFmtId="164" fontId="11" fillId="6" borderId="2" xfId="0" applyNumberFormat="1" applyFont="1" applyFill="1" applyBorder="1"/>
    <xf numFmtId="0" fontId="11" fillId="5" borderId="2" xfId="0" applyFont="1" applyFill="1" applyBorder="1"/>
    <xf numFmtId="164" fontId="11" fillId="5" borderId="2" xfId="0" applyNumberFormat="1" applyFont="1" applyFill="1" applyBorder="1"/>
    <xf numFmtId="0" fontId="7" fillId="0" borderId="0" xfId="0" applyFont="1"/>
    <xf numFmtId="2" fontId="14" fillId="0" borderId="0" xfId="0" applyNumberFormat="1" applyFont="1"/>
    <xf numFmtId="0" fontId="7" fillId="3" borderId="2" xfId="0" applyFont="1" applyFill="1" applyBorder="1"/>
    <xf numFmtId="0" fontId="11" fillId="3" borderId="2" xfId="0" applyFont="1" applyFill="1" applyBorder="1" applyAlignment="1">
      <alignment horizontal="center" vertical="center" wrapText="1"/>
    </xf>
    <xf numFmtId="165" fontId="11" fillId="3" borderId="2" xfId="0" applyNumberFormat="1" applyFont="1" applyFill="1" applyBorder="1" applyAlignment="1">
      <alignment horizontal="center" vertical="center" wrapText="1"/>
    </xf>
    <xf numFmtId="166" fontId="11" fillId="3" borderId="2" xfId="0" applyNumberFormat="1" applyFont="1" applyFill="1" applyBorder="1" applyAlignment="1">
      <alignment horizontal="center" vertical="center" wrapText="1"/>
    </xf>
    <xf numFmtId="167" fontId="11" fillId="3" borderId="2" xfId="0" applyNumberFormat="1" applyFont="1" applyFill="1" applyBorder="1" applyAlignment="1">
      <alignment horizontal="center" vertical="center" wrapText="1"/>
    </xf>
    <xf numFmtId="168" fontId="11" fillId="3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/>
    <xf numFmtId="0" fontId="11" fillId="4" borderId="2" xfId="0" applyFont="1" applyFill="1" applyBorder="1" applyAlignment="1">
      <alignment horizontal="center" vertical="center" wrapText="1"/>
    </xf>
    <xf numFmtId="165" fontId="11" fillId="4" borderId="2" xfId="0" applyNumberFormat="1" applyFont="1" applyFill="1" applyBorder="1" applyAlignment="1">
      <alignment horizontal="center" vertical="center" wrapText="1"/>
    </xf>
    <xf numFmtId="166" fontId="11" fillId="4" borderId="2" xfId="0" applyNumberFormat="1" applyFont="1" applyFill="1" applyBorder="1" applyAlignment="1">
      <alignment horizontal="center" vertical="center" wrapText="1"/>
    </xf>
    <xf numFmtId="167" fontId="11" fillId="4" borderId="2" xfId="0" applyNumberFormat="1" applyFont="1" applyFill="1" applyBorder="1" applyAlignment="1">
      <alignment horizontal="center" vertical="center" wrapText="1"/>
    </xf>
    <xf numFmtId="168" fontId="11" fillId="4" borderId="2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/>
    <xf numFmtId="0" fontId="7" fillId="9" borderId="2" xfId="0" applyFont="1" applyFill="1" applyBorder="1"/>
    <xf numFmtId="0" fontId="11" fillId="9" borderId="2" xfId="0" applyFont="1" applyFill="1" applyBorder="1" applyAlignment="1">
      <alignment horizontal="center" vertical="center" wrapText="1"/>
    </xf>
    <xf numFmtId="165" fontId="11" fillId="9" borderId="2" xfId="0" applyNumberFormat="1" applyFont="1" applyFill="1" applyBorder="1" applyAlignment="1">
      <alignment horizontal="center" vertical="center" wrapText="1"/>
    </xf>
    <xf numFmtId="166" fontId="11" fillId="9" borderId="2" xfId="0" applyNumberFormat="1" applyFont="1" applyFill="1" applyBorder="1" applyAlignment="1">
      <alignment horizontal="center" vertical="center" wrapText="1"/>
    </xf>
    <xf numFmtId="167" fontId="11" fillId="9" borderId="2" xfId="0" applyNumberFormat="1" applyFont="1" applyFill="1" applyBorder="1" applyAlignment="1">
      <alignment horizontal="center" vertical="center" wrapText="1"/>
    </xf>
    <xf numFmtId="168" fontId="11" fillId="9" borderId="2" xfId="0" applyNumberFormat="1" applyFont="1" applyFill="1" applyBorder="1" applyAlignment="1">
      <alignment horizontal="center" vertical="center" wrapText="1"/>
    </xf>
    <xf numFmtId="0" fontId="11" fillId="9" borderId="2" xfId="0" applyFont="1" applyFill="1" applyBorder="1"/>
    <xf numFmtId="0" fontId="11" fillId="0" borderId="2" xfId="0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166" fontId="11" fillId="0" borderId="2" xfId="0" applyNumberFormat="1" applyFont="1" applyBorder="1" applyAlignment="1">
      <alignment horizontal="center" vertical="center" wrapText="1"/>
    </xf>
    <xf numFmtId="167" fontId="11" fillId="0" borderId="2" xfId="0" applyNumberFormat="1" applyFont="1" applyBorder="1" applyAlignment="1">
      <alignment horizontal="center" vertical="center" wrapText="1"/>
    </xf>
    <xf numFmtId="168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0" fontId="14" fillId="0" borderId="2" xfId="0" applyFont="1" applyBorder="1"/>
    <xf numFmtId="2" fontId="14" fillId="0" borderId="2" xfId="0" applyNumberFormat="1" applyFont="1" applyBorder="1" applyAlignment="1">
      <alignment horizontal="center" vertical="center" wrapText="1"/>
    </xf>
    <xf numFmtId="168" fontId="16" fillId="6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10" borderId="2" xfId="0" applyFont="1" applyFill="1" applyBorder="1"/>
    <xf numFmtId="0" fontId="0" fillId="10" borderId="2" xfId="0" applyFill="1" applyBorder="1"/>
    <xf numFmtId="168" fontId="20" fillId="10" borderId="2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/>
    <xf numFmtId="0" fontId="0" fillId="9" borderId="0" xfId="0" applyFill="1"/>
    <xf numFmtId="0" fontId="6" fillId="0" borderId="2" xfId="0" applyFont="1" applyBorder="1"/>
    <xf numFmtId="164" fontId="22" fillId="3" borderId="2" xfId="0" applyNumberFormat="1" applyFont="1" applyFill="1" applyBorder="1" applyAlignment="1">
      <alignment horizontal="center" vertical="center" wrapText="1"/>
    </xf>
    <xf numFmtId="169" fontId="11" fillId="3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/>
    <xf numFmtId="0" fontId="7" fillId="6" borderId="2" xfId="0" applyFont="1" applyFill="1" applyBorder="1"/>
    <xf numFmtId="164" fontId="22" fillId="6" borderId="2" xfId="0" applyNumberFormat="1" applyFont="1" applyFill="1" applyBorder="1" applyAlignment="1">
      <alignment horizontal="center" vertical="center" wrapText="1"/>
    </xf>
    <xf numFmtId="169" fontId="11" fillId="6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/>
    <xf numFmtId="0" fontId="7" fillId="2" borderId="2" xfId="0" applyFont="1" applyFill="1" applyBorder="1"/>
    <xf numFmtId="164" fontId="22" fillId="2" borderId="2" xfId="0" applyNumberFormat="1" applyFont="1" applyFill="1" applyBorder="1" applyAlignment="1">
      <alignment horizontal="center" vertical="center" wrapText="1"/>
    </xf>
    <xf numFmtId="169" fontId="11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/>
    <xf numFmtId="0" fontId="0" fillId="2" borderId="2" xfId="0" applyFill="1" applyBorder="1"/>
    <xf numFmtId="0" fontId="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9" fontId="14" fillId="0" borderId="2" xfId="0" applyNumberFormat="1" applyFont="1" applyBorder="1" applyAlignment="1">
      <alignment horizontal="center" vertical="center" wrapText="1"/>
    </xf>
    <xf numFmtId="1" fontId="23" fillId="3" borderId="2" xfId="0" applyNumberFormat="1" applyFont="1" applyFill="1" applyBorder="1" applyAlignment="1">
      <alignment horizontal="center" vertical="center" wrapText="1"/>
    </xf>
    <xf numFmtId="164" fontId="23" fillId="3" borderId="2" xfId="0" applyNumberFormat="1" applyFont="1" applyFill="1" applyBorder="1" applyAlignment="1">
      <alignment horizontal="center" vertical="center" wrapText="1"/>
    </xf>
    <xf numFmtId="0" fontId="13" fillId="7" borderId="2" xfId="0" applyFont="1" applyFill="1" applyBorder="1"/>
    <xf numFmtId="164" fontId="24" fillId="6" borderId="2" xfId="0" applyNumberFormat="1" applyFont="1" applyFill="1" applyBorder="1" applyAlignment="1">
      <alignment horizontal="center" vertical="center" wrapText="1"/>
    </xf>
    <xf numFmtId="0" fontId="25" fillId="9" borderId="2" xfId="0" applyFont="1" applyFill="1" applyBorder="1"/>
    <xf numFmtId="0" fontId="26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/>
    <xf numFmtId="0" fontId="25" fillId="0" borderId="2" xfId="0" applyFont="1" applyBorder="1"/>
    <xf numFmtId="0" fontId="26" fillId="0" borderId="2" xfId="0" applyFont="1" applyBorder="1" applyAlignment="1">
      <alignment horizontal="center" vertical="center" wrapText="1"/>
    </xf>
    <xf numFmtId="0" fontId="8" fillId="0" borderId="2" xfId="0" applyFont="1" applyBorder="1"/>
    <xf numFmtId="0" fontId="27" fillId="9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vertical="center"/>
    </xf>
    <xf numFmtId="0" fontId="5" fillId="7" borderId="0" xfId="0" applyFont="1" applyFill="1" applyAlignment="1">
      <alignment vertical="center"/>
    </xf>
    <xf numFmtId="0" fontId="6" fillId="0" borderId="1" xfId="0" applyFont="1" applyBorder="1"/>
    <xf numFmtId="0" fontId="6" fillId="0" borderId="0" xfId="0" applyFont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/>
    <xf numFmtId="0" fontId="13" fillId="7" borderId="0" xfId="0" applyFont="1" applyFill="1" applyAlignment="1">
      <alignment vertical="center"/>
    </xf>
    <xf numFmtId="0" fontId="11" fillId="0" borderId="0" xfId="0" applyFont="1" applyAlignment="1">
      <alignment horizontal="left" vertical="top" wrapText="1"/>
    </xf>
    <xf numFmtId="0" fontId="21" fillId="0" borderId="0" xfId="0" applyFont="1"/>
    <xf numFmtId="0" fontId="15" fillId="3" borderId="0" xfId="0" applyFont="1" applyFill="1"/>
    <xf numFmtId="0" fontId="6" fillId="3" borderId="2" xfId="0" applyFont="1" applyFill="1" applyBorder="1"/>
    <xf numFmtId="0" fontId="6" fillId="6" borderId="2" xfId="0" applyFont="1" applyFill="1" applyBorder="1"/>
    <xf numFmtId="0" fontId="6" fillId="2" borderId="2" xfId="0" applyFont="1" applyFill="1" applyBorder="1"/>
  </cellXfs>
  <cellStyles count="1">
    <cellStyle name="Standard" xfId="0" builtinId="0"/>
  </cellStyles>
  <dxfs count="5">
    <dxf>
      <fill>
        <patternFill>
          <bgColor rgb="FFFFEBEE"/>
        </patternFill>
      </fill>
    </dxf>
    <dxf>
      <fill>
        <patternFill>
          <bgColor rgb="FFC8E6C9"/>
        </patternFill>
      </fill>
    </dxf>
    <dxf>
      <fill>
        <patternFill>
          <bgColor rgb="FFC8E6C9"/>
        </patternFill>
      </fill>
    </dxf>
    <dxf>
      <fill>
        <patternFill>
          <bgColor rgb="FFFFEBEE"/>
        </patternFill>
      </fill>
    </dxf>
    <dxf>
      <fill>
        <patternFill>
          <bgColor rgb="FFFFEB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9F9F9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9A825"/>
      <rgbColor rgb="FFE65100"/>
      <rgbColor rgb="FF666666"/>
      <rgbColor rgb="FF969696"/>
      <rgbColor rgb="FF1B3A5C"/>
      <rgbColor rgb="FF2E7D32"/>
      <rgbColor rgb="FF003300"/>
      <rgbColor rgb="FF555555"/>
      <rgbColor rgb="FF993300"/>
      <rgbColor rgb="FF993366"/>
      <rgbColor rgb="FF2E5A8C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zoomScaleNormal="100" workbookViewId="0"/>
  </sheetViews>
  <sheetFormatPr baseColWidth="10" defaultColWidth="8.61328125"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4">
      <c r="A4" t="s">
        <v>24</v>
      </c>
      <c r="B4" t="s">
        <v>25</v>
      </c>
      <c r="C4" t="s">
        <v>26</v>
      </c>
      <c r="E4" t="s">
        <v>27</v>
      </c>
      <c r="F4" t="s">
        <v>28</v>
      </c>
      <c r="G4" t="s">
        <v>29</v>
      </c>
    </row>
    <row r="5" spans="1:8" x14ac:dyDescent="0.4">
      <c r="E5" t="s">
        <v>30</v>
      </c>
      <c r="F5" t="s">
        <v>31</v>
      </c>
    </row>
    <row r="6" spans="1:8" x14ac:dyDescent="0.4">
      <c r="F6" t="s">
        <v>32</v>
      </c>
    </row>
    <row r="7" spans="1:8" x14ac:dyDescent="0.4">
      <c r="F7" t="s">
        <v>22</v>
      </c>
    </row>
    <row r="8" spans="1:8" x14ac:dyDescent="0.4">
      <c r="F8" t="s">
        <v>29</v>
      </c>
    </row>
    <row r="9" spans="1:8" x14ac:dyDescent="0.4">
      <c r="F9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8"/>
  <sheetViews>
    <sheetView showGridLines="0" topLeftCell="A6" zoomScaleNormal="100" workbookViewId="0">
      <selection activeCell="S14" sqref="S14"/>
    </sheetView>
  </sheetViews>
  <sheetFormatPr baseColWidth="10" defaultColWidth="8.61328125" defaultRowHeight="14.6" x14ac:dyDescent="0.4"/>
  <cols>
    <col min="1" max="1" width="2" customWidth="1"/>
    <col min="2" max="2" width="18" customWidth="1"/>
    <col min="3" max="3" width="10" customWidth="1"/>
    <col min="4" max="5" width="12" customWidth="1"/>
    <col min="6" max="6" width="10" customWidth="1"/>
    <col min="7" max="7" width="22" customWidth="1"/>
    <col min="8" max="8" width="10" customWidth="1"/>
    <col min="9" max="9" width="27.53515625" customWidth="1"/>
  </cols>
  <sheetData>
    <row r="2" spans="2:9" ht="39.75" customHeight="1" x14ac:dyDescent="0.4">
      <c r="B2" s="98" t="s">
        <v>34</v>
      </c>
      <c r="C2" s="98"/>
      <c r="D2" s="98"/>
      <c r="E2" s="98"/>
      <c r="F2" s="98"/>
      <c r="G2" s="98"/>
      <c r="H2" s="98"/>
      <c r="I2" s="98"/>
    </row>
    <row r="3" spans="2:9" x14ac:dyDescent="0.4">
      <c r="B3" s="99" t="s">
        <v>35</v>
      </c>
      <c r="C3" s="99"/>
      <c r="D3" s="99"/>
      <c r="E3" s="99"/>
      <c r="F3" s="99"/>
      <c r="G3" s="99"/>
      <c r="H3" s="99"/>
      <c r="I3" s="99"/>
    </row>
    <row r="5" spans="2:9" ht="27.75" customHeight="1" x14ac:dyDescent="0.4">
      <c r="B5" s="100">
        <f>COUNTA('Lead CRM'!A2:A51)</f>
        <v>50</v>
      </c>
      <c r="C5" s="100"/>
      <c r="D5" s="96">
        <f>COUNTIF('Lead CRM'!A2:A51,"A*")</f>
        <v>11</v>
      </c>
      <c r="E5" s="96"/>
      <c r="F5" s="101">
        <f>COUNTIF('Lead CRM'!L2:L51,"Keine Website gefunden")</f>
        <v>41</v>
      </c>
      <c r="G5" s="101"/>
      <c r="H5" s="95">
        <f>COUNTIF('Lead CRM'!M2:M51,"Kein Online-Booking gefunden")</f>
        <v>42</v>
      </c>
      <c r="I5" s="95"/>
    </row>
    <row r="6" spans="2:9" ht="27.75" customHeight="1" x14ac:dyDescent="0.4">
      <c r="B6" s="2" t="s">
        <v>36</v>
      </c>
      <c r="D6" s="2" t="s">
        <v>37</v>
      </c>
      <c r="F6" s="2" t="s">
        <v>38</v>
      </c>
      <c r="H6" s="2" t="s">
        <v>39</v>
      </c>
    </row>
    <row r="8" spans="2:9" ht="27.75" customHeight="1" x14ac:dyDescent="0.4">
      <c r="B8" s="94">
        <f>COUNTIF('Lead CRM'!R2:R51,"Kontaktiert")+COUNTIF('Lead CRM'!R2:R51,"Termin vereinbart")+COUNTIF('Lead CRM'!R2:R51,"Angebot gesendet")</f>
        <v>0</v>
      </c>
      <c r="C8" s="94"/>
      <c r="D8" s="95">
        <f>COUNTIF('Lead CRM'!R2:R51,"Follow-up noetig")</f>
        <v>0</v>
      </c>
      <c r="E8" s="95"/>
      <c r="F8" s="96">
        <f>COUNTIF('Lead CRM'!U2:U51,"Gewonnen")</f>
        <v>0</v>
      </c>
      <c r="G8" s="96"/>
      <c r="H8" s="97">
        <f>SUM('Lead CRM'!V2:V51)</f>
        <v>57300</v>
      </c>
      <c r="I8" s="97"/>
    </row>
    <row r="9" spans="2:9" ht="27.75" customHeight="1" x14ac:dyDescent="0.4">
      <c r="B9" s="2" t="s">
        <v>21</v>
      </c>
      <c r="D9" s="2" t="s">
        <v>40</v>
      </c>
      <c r="F9" s="2" t="s">
        <v>22</v>
      </c>
      <c r="H9" s="2" t="s">
        <v>41</v>
      </c>
    </row>
    <row r="11" spans="2:9" ht="24.75" customHeight="1" x14ac:dyDescent="0.4">
      <c r="B11" s="91" t="s">
        <v>42</v>
      </c>
      <c r="C11" s="91"/>
      <c r="D11" s="91"/>
      <c r="E11" s="91"/>
      <c r="F11" s="91"/>
      <c r="G11" s="91"/>
      <c r="H11" s="91"/>
      <c r="I11" s="91"/>
    </row>
    <row r="12" spans="2:9" ht="129.75" customHeight="1" x14ac:dyDescent="0.4">
      <c r="B12" s="93" t="s">
        <v>43</v>
      </c>
      <c r="C12" s="93"/>
      <c r="D12" s="93"/>
      <c r="E12" s="93"/>
      <c r="F12" s="93"/>
      <c r="G12" s="93"/>
      <c r="H12" s="93"/>
      <c r="I12" s="93"/>
    </row>
    <row r="13" spans="2:9" x14ac:dyDescent="0.4">
      <c r="B13" s="93"/>
      <c r="C13" s="93"/>
      <c r="D13" s="93"/>
      <c r="E13" s="93"/>
      <c r="F13" s="93"/>
      <c r="G13" s="93"/>
      <c r="H13" s="93"/>
      <c r="I13" s="93"/>
    </row>
    <row r="14" spans="2:9" x14ac:dyDescent="0.4">
      <c r="B14" s="93"/>
      <c r="C14" s="93"/>
      <c r="D14" s="93"/>
      <c r="E14" s="93"/>
      <c r="F14" s="93"/>
      <c r="G14" s="93"/>
      <c r="H14" s="93"/>
      <c r="I14" s="93"/>
    </row>
    <row r="15" spans="2:9" x14ac:dyDescent="0.4">
      <c r="B15" s="93"/>
      <c r="C15" s="93"/>
      <c r="D15" s="93"/>
      <c r="E15" s="93"/>
      <c r="F15" s="93"/>
      <c r="G15" s="93"/>
      <c r="H15" s="93"/>
      <c r="I15" s="93"/>
    </row>
    <row r="16" spans="2:9" x14ac:dyDescent="0.4">
      <c r="B16" s="93"/>
      <c r="C16" s="93"/>
      <c r="D16" s="93"/>
      <c r="E16" s="93"/>
      <c r="F16" s="93"/>
      <c r="G16" s="93"/>
      <c r="H16" s="93"/>
      <c r="I16" s="93"/>
    </row>
    <row r="17" spans="2:9" x14ac:dyDescent="0.4">
      <c r="B17" s="93"/>
      <c r="C17" s="93"/>
      <c r="D17" s="93"/>
      <c r="E17" s="93"/>
      <c r="F17" s="93"/>
      <c r="G17" s="93"/>
      <c r="H17" s="93"/>
      <c r="I17" s="93"/>
    </row>
    <row r="19" spans="2:9" ht="24.75" customHeight="1" x14ac:dyDescent="0.4">
      <c r="B19" s="91" t="s">
        <v>44</v>
      </c>
      <c r="C19" s="91"/>
      <c r="D19" s="91"/>
      <c r="E19" s="91"/>
      <c r="F19" s="91"/>
      <c r="G19" s="91"/>
      <c r="H19" s="91"/>
      <c r="I19" s="91"/>
    </row>
    <row r="20" spans="2:9" ht="21.75" customHeight="1" x14ac:dyDescent="0.4">
      <c r="B20" s="3" t="s">
        <v>45</v>
      </c>
      <c r="C20" s="92" t="s">
        <v>46</v>
      </c>
      <c r="D20" s="92"/>
      <c r="E20" s="92"/>
      <c r="F20" s="92"/>
      <c r="G20" s="92"/>
      <c r="H20" s="4" t="s">
        <v>47</v>
      </c>
    </row>
    <row r="21" spans="2:9" ht="21.75" customHeight="1" x14ac:dyDescent="0.4">
      <c r="B21" s="3" t="s">
        <v>48</v>
      </c>
      <c r="C21" s="92" t="s">
        <v>49</v>
      </c>
      <c r="D21" s="92"/>
      <c r="E21" s="92"/>
      <c r="F21" s="92"/>
      <c r="G21" s="92"/>
      <c r="H21" s="4" t="s">
        <v>50</v>
      </c>
    </row>
    <row r="22" spans="2:9" ht="21.75" customHeight="1" x14ac:dyDescent="0.4">
      <c r="B22" s="3" t="s">
        <v>51</v>
      </c>
      <c r="C22" s="92" t="s">
        <v>52</v>
      </c>
      <c r="D22" s="92"/>
      <c r="E22" s="92"/>
      <c r="F22" s="92"/>
      <c r="G22" s="92"/>
      <c r="H22" s="4" t="s">
        <v>53</v>
      </c>
    </row>
    <row r="23" spans="2:9" ht="21.75" customHeight="1" x14ac:dyDescent="0.4">
      <c r="B23" s="3" t="s">
        <v>54</v>
      </c>
      <c r="C23" s="92" t="s">
        <v>55</v>
      </c>
      <c r="D23" s="92"/>
      <c r="E23" s="92"/>
      <c r="F23" s="92"/>
      <c r="G23" s="92"/>
      <c r="H23" s="4" t="s">
        <v>56</v>
      </c>
    </row>
    <row r="24" spans="2:9" ht="21.75" customHeight="1" x14ac:dyDescent="0.4">
      <c r="B24" s="3" t="s">
        <v>57</v>
      </c>
      <c r="C24" s="92" t="s">
        <v>58</v>
      </c>
      <c r="D24" s="92"/>
      <c r="E24" s="92"/>
      <c r="F24" s="92"/>
      <c r="G24" s="92"/>
      <c r="H24" s="4" t="s">
        <v>53</v>
      </c>
    </row>
    <row r="26" spans="2:9" ht="24.75" customHeight="1" x14ac:dyDescent="0.4">
      <c r="B26" s="91" t="s">
        <v>59</v>
      </c>
      <c r="C26" s="91"/>
      <c r="D26" s="91"/>
      <c r="E26" s="91"/>
      <c r="F26" s="91"/>
      <c r="G26" s="91"/>
      <c r="H26" s="91"/>
      <c r="I26" s="91"/>
    </row>
    <row r="27" spans="2:9" x14ac:dyDescent="0.4">
      <c r="B27" s="5" t="s">
        <v>60</v>
      </c>
      <c r="C27" s="5" t="s">
        <v>61</v>
      </c>
      <c r="D27" s="5" t="s">
        <v>38</v>
      </c>
      <c r="E27" s="5" t="s">
        <v>39</v>
      </c>
      <c r="F27" s="5" t="s">
        <v>62</v>
      </c>
      <c r="G27" s="5" t="s">
        <v>63</v>
      </c>
    </row>
    <row r="28" spans="2:9" x14ac:dyDescent="0.4">
      <c r="B28" s="6" t="s">
        <v>64</v>
      </c>
      <c r="C28" s="7">
        <v>15</v>
      </c>
      <c r="D28" s="7" t="s">
        <v>65</v>
      </c>
      <c r="E28" s="7">
        <v>15</v>
      </c>
      <c r="F28" s="7" t="s">
        <v>66</v>
      </c>
      <c r="G28" s="7" t="s">
        <v>67</v>
      </c>
    </row>
    <row r="29" spans="2:9" x14ac:dyDescent="0.4">
      <c r="B29" s="8" t="s">
        <v>68</v>
      </c>
      <c r="C29" s="9">
        <v>8</v>
      </c>
      <c r="D29" s="9" t="s">
        <v>69</v>
      </c>
      <c r="E29" s="9">
        <v>8</v>
      </c>
      <c r="F29" s="9" t="s">
        <v>70</v>
      </c>
      <c r="G29" s="9" t="s">
        <v>71</v>
      </c>
    </row>
    <row r="30" spans="2:9" x14ac:dyDescent="0.4">
      <c r="B30" s="6" t="s">
        <v>72</v>
      </c>
      <c r="C30" s="7">
        <v>5</v>
      </c>
      <c r="D30" s="7" t="s">
        <v>73</v>
      </c>
      <c r="E30" s="7">
        <v>5</v>
      </c>
      <c r="F30" s="7" t="s">
        <v>70</v>
      </c>
      <c r="G30" s="7" t="s">
        <v>74</v>
      </c>
    </row>
    <row r="31" spans="2:9" x14ac:dyDescent="0.4">
      <c r="B31" s="8" t="s">
        <v>75</v>
      </c>
      <c r="C31" s="9">
        <v>4</v>
      </c>
      <c r="D31" s="9" t="s">
        <v>76</v>
      </c>
      <c r="E31" s="9">
        <v>4</v>
      </c>
      <c r="F31" s="9" t="s">
        <v>70</v>
      </c>
      <c r="G31" s="9" t="s">
        <v>77</v>
      </c>
    </row>
    <row r="32" spans="2:9" x14ac:dyDescent="0.4">
      <c r="B32" s="6" t="s">
        <v>78</v>
      </c>
      <c r="C32" s="7">
        <v>3</v>
      </c>
      <c r="D32" s="7" t="s">
        <v>79</v>
      </c>
      <c r="E32" s="7">
        <v>3</v>
      </c>
      <c r="F32" s="7" t="s">
        <v>70</v>
      </c>
      <c r="G32" s="7" t="s">
        <v>80</v>
      </c>
    </row>
    <row r="33" spans="2:7" x14ac:dyDescent="0.4">
      <c r="B33" s="8" t="s">
        <v>81</v>
      </c>
      <c r="C33" s="9">
        <v>3</v>
      </c>
      <c r="D33" s="9" t="s">
        <v>79</v>
      </c>
      <c r="E33" s="9">
        <v>3</v>
      </c>
      <c r="F33" s="9" t="s">
        <v>82</v>
      </c>
      <c r="G33" s="9" t="s">
        <v>83</v>
      </c>
    </row>
    <row r="34" spans="2:7" x14ac:dyDescent="0.4">
      <c r="B34" s="6" t="s">
        <v>84</v>
      </c>
      <c r="C34" s="7">
        <v>3</v>
      </c>
      <c r="D34" s="7" t="s">
        <v>79</v>
      </c>
      <c r="E34" s="7">
        <v>3</v>
      </c>
      <c r="F34" s="7" t="s">
        <v>82</v>
      </c>
      <c r="G34" s="7" t="s">
        <v>85</v>
      </c>
    </row>
    <row r="35" spans="2:7" x14ac:dyDescent="0.4">
      <c r="B35" s="8" t="s">
        <v>86</v>
      </c>
      <c r="C35" s="9">
        <v>2</v>
      </c>
      <c r="D35" s="9" t="s">
        <v>87</v>
      </c>
      <c r="E35" s="9">
        <v>2</v>
      </c>
      <c r="F35" s="9" t="s">
        <v>82</v>
      </c>
      <c r="G35" s="9" t="s">
        <v>88</v>
      </c>
    </row>
    <row r="36" spans="2:7" x14ac:dyDescent="0.4">
      <c r="B36" s="6" t="s">
        <v>89</v>
      </c>
      <c r="C36" s="7">
        <v>2</v>
      </c>
      <c r="D36" s="7" t="s">
        <v>87</v>
      </c>
      <c r="E36" s="7">
        <v>2</v>
      </c>
      <c r="F36" s="7" t="s">
        <v>82</v>
      </c>
      <c r="G36" s="7" t="s">
        <v>90</v>
      </c>
    </row>
    <row r="37" spans="2:7" x14ac:dyDescent="0.4">
      <c r="B37" s="8" t="s">
        <v>91</v>
      </c>
      <c r="C37" s="9">
        <v>2</v>
      </c>
      <c r="D37" s="9" t="s">
        <v>87</v>
      </c>
      <c r="E37" s="9">
        <v>2</v>
      </c>
      <c r="F37" s="9" t="s">
        <v>82</v>
      </c>
      <c r="G37" s="9" t="s">
        <v>92</v>
      </c>
    </row>
    <row r="38" spans="2:7" x14ac:dyDescent="0.4">
      <c r="B38" s="6" t="s">
        <v>93</v>
      </c>
      <c r="C38" s="7">
        <v>3</v>
      </c>
      <c r="D38" s="7" t="s">
        <v>79</v>
      </c>
      <c r="E38" s="7">
        <v>3</v>
      </c>
      <c r="F38" s="7" t="s">
        <v>94</v>
      </c>
      <c r="G38" s="7" t="s">
        <v>95</v>
      </c>
    </row>
  </sheetData>
  <mergeCells count="19">
    <mergeCell ref="B2:I2"/>
    <mergeCell ref="B3:I3"/>
    <mergeCell ref="B5:C5"/>
    <mergeCell ref="D5:E5"/>
    <mergeCell ref="F5:G5"/>
    <mergeCell ref="H5:I5"/>
    <mergeCell ref="B8:C8"/>
    <mergeCell ref="D8:E8"/>
    <mergeCell ref="F8:G8"/>
    <mergeCell ref="H8:I8"/>
    <mergeCell ref="B11:I11"/>
    <mergeCell ref="C23:G23"/>
    <mergeCell ref="C24:G24"/>
    <mergeCell ref="B26:I26"/>
    <mergeCell ref="B12:I17"/>
    <mergeCell ref="B19:I19"/>
    <mergeCell ref="C20:G20"/>
    <mergeCell ref="C21:G21"/>
    <mergeCell ref="C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1"/>
  <sheetViews>
    <sheetView showGridLines="0" topLeftCell="K1" zoomScaleNormal="100" workbookViewId="0">
      <pane ySplit="1" topLeftCell="A2" activePane="bottomLeft" state="frozen"/>
      <selection pane="bottomLeft" activeCell="Y10" sqref="Y10"/>
    </sheetView>
  </sheetViews>
  <sheetFormatPr baseColWidth="10" defaultColWidth="8.61328125" defaultRowHeight="14.6" x14ac:dyDescent="0.4"/>
  <cols>
    <col min="1" max="1" width="14" customWidth="1"/>
    <col min="2" max="2" width="7" customWidth="1"/>
    <col min="3" max="3" width="15" customWidth="1"/>
    <col min="4" max="4" width="25" customWidth="1"/>
    <col min="5" max="5" width="30" customWidth="1"/>
    <col min="6" max="6" width="20" customWidth="1"/>
    <col min="7" max="7" width="28" customWidth="1"/>
    <col min="8" max="8" width="35" customWidth="1"/>
    <col min="9" max="9" width="22" customWidth="1"/>
    <col min="10" max="10" width="20" customWidth="1"/>
    <col min="11" max="11" width="30" customWidth="1"/>
    <col min="12" max="12" width="18" customWidth="1"/>
    <col min="13" max="13" width="22" customWidth="1"/>
    <col min="14" max="14" width="14" customWidth="1"/>
    <col min="15" max="15" width="28" customWidth="1"/>
    <col min="16" max="16" width="30" customWidth="1"/>
    <col min="17" max="17" width="28" customWidth="1"/>
    <col min="18" max="19" width="14" customWidth="1"/>
    <col min="20" max="20" width="22" customWidth="1"/>
    <col min="21" max="21" width="14" customWidth="1"/>
    <col min="22" max="22" width="18" customWidth="1"/>
    <col min="23" max="23" width="20" customWidth="1"/>
    <col min="24" max="24" width="18" customWidth="1"/>
    <col min="25" max="25" width="30" customWidth="1"/>
  </cols>
  <sheetData>
    <row r="1" spans="1:25" ht="30" customHeight="1" x14ac:dyDescent="0.4">
      <c r="A1" s="10" t="s">
        <v>96</v>
      </c>
      <c r="B1" s="10" t="s">
        <v>97</v>
      </c>
      <c r="C1" s="10" t="s">
        <v>60</v>
      </c>
      <c r="D1" s="10" t="s">
        <v>98</v>
      </c>
      <c r="E1" s="10" t="s">
        <v>99</v>
      </c>
      <c r="F1" s="10" t="s">
        <v>100</v>
      </c>
      <c r="G1" s="10" t="s">
        <v>101</v>
      </c>
      <c r="H1" s="10" t="s">
        <v>102</v>
      </c>
      <c r="I1" s="10" t="s">
        <v>103</v>
      </c>
      <c r="J1" s="10" t="s">
        <v>104</v>
      </c>
      <c r="K1" s="10" t="s">
        <v>105</v>
      </c>
      <c r="L1" s="10" t="s">
        <v>106</v>
      </c>
      <c r="M1" s="10" t="s">
        <v>107</v>
      </c>
      <c r="N1" s="10" t="s">
        <v>108</v>
      </c>
      <c r="O1" s="10" t="s">
        <v>109</v>
      </c>
      <c r="P1" s="10" t="s">
        <v>110</v>
      </c>
      <c r="Q1" s="10" t="s">
        <v>111</v>
      </c>
      <c r="R1" s="10" t="s">
        <v>112</v>
      </c>
      <c r="S1" s="10" t="s">
        <v>113</v>
      </c>
      <c r="T1" s="10" t="s">
        <v>114</v>
      </c>
      <c r="U1" s="10" t="s">
        <v>115</v>
      </c>
      <c r="V1" s="10" t="s">
        <v>116</v>
      </c>
      <c r="W1" s="10" t="s">
        <v>117</v>
      </c>
      <c r="X1" s="10" t="s">
        <v>118</v>
      </c>
      <c r="Y1" s="10" t="s">
        <v>119</v>
      </c>
    </row>
    <row r="2" spans="1:25" ht="45" customHeight="1" x14ac:dyDescent="0.4">
      <c r="A2" s="11" t="s">
        <v>120</v>
      </c>
      <c r="B2" s="11">
        <v>1</v>
      </c>
      <c r="C2" s="11" t="s">
        <v>78</v>
      </c>
      <c r="D2" s="11" t="s">
        <v>121</v>
      </c>
      <c r="E2" s="11" t="s">
        <v>122</v>
      </c>
      <c r="F2" s="11" t="s">
        <v>123</v>
      </c>
      <c r="G2" s="11" t="s">
        <v>124</v>
      </c>
      <c r="H2" s="11" t="s">
        <v>125</v>
      </c>
      <c r="I2" s="11" t="s">
        <v>126</v>
      </c>
      <c r="J2" s="11" t="s">
        <v>127</v>
      </c>
      <c r="K2" s="11" t="s">
        <v>128</v>
      </c>
      <c r="L2" s="11" t="s">
        <v>17</v>
      </c>
      <c r="M2" s="11" t="s">
        <v>129</v>
      </c>
      <c r="N2" s="11" t="s">
        <v>11</v>
      </c>
      <c r="O2" s="11" t="s">
        <v>130</v>
      </c>
      <c r="P2" s="11" t="s">
        <v>131</v>
      </c>
      <c r="Q2" s="11" t="s">
        <v>12</v>
      </c>
      <c r="R2" s="11" t="s">
        <v>5</v>
      </c>
      <c r="S2" s="11"/>
      <c r="T2" s="11" t="s">
        <v>132</v>
      </c>
      <c r="U2" s="11" t="s">
        <v>6</v>
      </c>
      <c r="V2" s="12">
        <v>1500</v>
      </c>
      <c r="W2" s="11" t="s">
        <v>133</v>
      </c>
      <c r="X2" s="11" t="s">
        <v>134</v>
      </c>
      <c r="Y2" s="11" t="s">
        <v>135</v>
      </c>
    </row>
    <row r="3" spans="1:25" ht="45" customHeight="1" x14ac:dyDescent="0.4">
      <c r="A3" s="11" t="s">
        <v>120</v>
      </c>
      <c r="B3" s="11">
        <v>1</v>
      </c>
      <c r="C3" s="11" t="s">
        <v>78</v>
      </c>
      <c r="D3" s="11" t="s">
        <v>136</v>
      </c>
      <c r="E3" s="11" t="s">
        <v>137</v>
      </c>
      <c r="F3" s="11" t="s">
        <v>138</v>
      </c>
      <c r="G3" s="11" t="s">
        <v>126</v>
      </c>
      <c r="H3" s="11" t="s">
        <v>139</v>
      </c>
      <c r="I3" s="11" t="s">
        <v>126</v>
      </c>
      <c r="J3" s="11" t="s">
        <v>140</v>
      </c>
      <c r="K3" s="11" t="s">
        <v>141</v>
      </c>
      <c r="L3" s="11" t="s">
        <v>1</v>
      </c>
      <c r="M3" s="11" t="s">
        <v>2</v>
      </c>
      <c r="N3" s="11" t="s">
        <v>3</v>
      </c>
      <c r="O3" s="11" t="s">
        <v>142</v>
      </c>
      <c r="P3" s="11" t="s">
        <v>143</v>
      </c>
      <c r="Q3" s="11" t="s">
        <v>4</v>
      </c>
      <c r="R3" s="11" t="s">
        <v>5</v>
      </c>
      <c r="S3" s="11"/>
      <c r="T3" s="11" t="s">
        <v>144</v>
      </c>
      <c r="U3" s="11" t="s">
        <v>6</v>
      </c>
      <c r="V3" s="12">
        <v>2000</v>
      </c>
      <c r="W3" s="11" t="s">
        <v>145</v>
      </c>
      <c r="X3" s="11" t="s">
        <v>15</v>
      </c>
      <c r="Y3" s="11" t="s">
        <v>146</v>
      </c>
    </row>
    <row r="4" spans="1:25" ht="45" customHeight="1" x14ac:dyDescent="0.4">
      <c r="A4" s="11" t="s">
        <v>120</v>
      </c>
      <c r="B4" s="11">
        <v>1</v>
      </c>
      <c r="C4" s="11" t="s">
        <v>78</v>
      </c>
      <c r="D4" s="11" t="s">
        <v>147</v>
      </c>
      <c r="E4" s="11" t="s">
        <v>148</v>
      </c>
      <c r="F4" s="11" t="s">
        <v>149</v>
      </c>
      <c r="G4" s="11" t="s">
        <v>126</v>
      </c>
      <c r="H4" s="11" t="s">
        <v>125</v>
      </c>
      <c r="I4" s="11" t="s">
        <v>126</v>
      </c>
      <c r="J4" s="11" t="s">
        <v>150</v>
      </c>
      <c r="K4" s="11" t="s">
        <v>151</v>
      </c>
      <c r="L4" s="11" t="s">
        <v>1</v>
      </c>
      <c r="M4" s="11" t="s">
        <v>2</v>
      </c>
      <c r="N4" s="11" t="s">
        <v>3</v>
      </c>
      <c r="O4" s="11" t="s">
        <v>152</v>
      </c>
      <c r="P4" s="11" t="s">
        <v>153</v>
      </c>
      <c r="Q4" s="11" t="s">
        <v>4</v>
      </c>
      <c r="R4" s="11" t="s">
        <v>5</v>
      </c>
      <c r="S4" s="11"/>
      <c r="T4" s="11" t="s">
        <v>154</v>
      </c>
      <c r="U4" s="11" t="s">
        <v>6</v>
      </c>
      <c r="V4" s="12">
        <v>1800</v>
      </c>
      <c r="W4" s="11" t="s">
        <v>125</v>
      </c>
      <c r="X4" s="11" t="s">
        <v>15</v>
      </c>
      <c r="Y4" s="11" t="s">
        <v>155</v>
      </c>
    </row>
    <row r="5" spans="1:25" ht="45" customHeight="1" x14ac:dyDescent="0.4">
      <c r="A5" s="11" t="s">
        <v>120</v>
      </c>
      <c r="B5" s="11">
        <v>2</v>
      </c>
      <c r="C5" s="11" t="s">
        <v>72</v>
      </c>
      <c r="D5" s="11" t="s">
        <v>156</v>
      </c>
      <c r="E5" s="11" t="s">
        <v>157</v>
      </c>
      <c r="F5" s="11" t="s">
        <v>158</v>
      </c>
      <c r="G5" s="11" t="s">
        <v>159</v>
      </c>
      <c r="H5" s="11" t="s">
        <v>160</v>
      </c>
      <c r="I5" s="11" t="s">
        <v>126</v>
      </c>
      <c r="J5" s="11" t="s">
        <v>161</v>
      </c>
      <c r="K5" s="11" t="s">
        <v>162</v>
      </c>
      <c r="L5" s="11" t="s">
        <v>25</v>
      </c>
      <c r="M5" s="11" t="s">
        <v>26</v>
      </c>
      <c r="N5" s="11" t="s">
        <v>11</v>
      </c>
      <c r="O5" s="11" t="s">
        <v>163</v>
      </c>
      <c r="P5" s="11" t="s">
        <v>164</v>
      </c>
      <c r="Q5" s="11" t="s">
        <v>12</v>
      </c>
      <c r="R5" s="11" t="s">
        <v>5</v>
      </c>
      <c r="S5" s="11"/>
      <c r="T5" s="11" t="s">
        <v>165</v>
      </c>
      <c r="U5" s="11" t="s">
        <v>6</v>
      </c>
      <c r="V5" s="12">
        <v>3000</v>
      </c>
      <c r="W5" s="11" t="s">
        <v>166</v>
      </c>
      <c r="X5" s="11" t="s">
        <v>7</v>
      </c>
      <c r="Y5" s="11" t="s">
        <v>167</v>
      </c>
    </row>
    <row r="6" spans="1:25" ht="45" customHeight="1" x14ac:dyDescent="0.4">
      <c r="A6" s="11" t="s">
        <v>120</v>
      </c>
      <c r="B6" s="11">
        <v>2</v>
      </c>
      <c r="C6" s="11" t="s">
        <v>72</v>
      </c>
      <c r="D6" s="11" t="s">
        <v>168</v>
      </c>
      <c r="E6" s="11" t="s">
        <v>169</v>
      </c>
      <c r="F6" s="11" t="s">
        <v>170</v>
      </c>
      <c r="G6" s="11" t="s">
        <v>126</v>
      </c>
      <c r="H6" s="11" t="s">
        <v>139</v>
      </c>
      <c r="I6" s="11" t="s">
        <v>126</v>
      </c>
      <c r="J6" s="11" t="s">
        <v>171</v>
      </c>
      <c r="K6" s="11" t="s">
        <v>172</v>
      </c>
      <c r="L6" s="11" t="s">
        <v>1</v>
      </c>
      <c r="M6" s="11" t="s">
        <v>2</v>
      </c>
      <c r="N6" s="11" t="s">
        <v>3</v>
      </c>
      <c r="O6" s="11" t="s">
        <v>173</v>
      </c>
      <c r="P6" s="11" t="s">
        <v>174</v>
      </c>
      <c r="Q6" s="11" t="s">
        <v>4</v>
      </c>
      <c r="R6" s="11" t="s">
        <v>5</v>
      </c>
      <c r="S6" s="11"/>
      <c r="T6" s="11" t="s">
        <v>144</v>
      </c>
      <c r="U6" s="11" t="s">
        <v>6</v>
      </c>
      <c r="V6" s="12">
        <v>2500</v>
      </c>
      <c r="W6" s="11" t="s">
        <v>145</v>
      </c>
      <c r="X6" s="11" t="s">
        <v>15</v>
      </c>
      <c r="Y6" s="11" t="s">
        <v>175</v>
      </c>
    </row>
    <row r="7" spans="1:25" ht="45" customHeight="1" x14ac:dyDescent="0.4">
      <c r="A7" s="11" t="s">
        <v>120</v>
      </c>
      <c r="B7" s="11">
        <v>2</v>
      </c>
      <c r="C7" s="11" t="s">
        <v>72</v>
      </c>
      <c r="D7" s="11" t="s">
        <v>176</v>
      </c>
      <c r="E7" s="11" t="s">
        <v>177</v>
      </c>
      <c r="F7" s="11" t="s">
        <v>178</v>
      </c>
      <c r="G7" s="11" t="s">
        <v>179</v>
      </c>
      <c r="H7" s="11" t="s">
        <v>125</v>
      </c>
      <c r="I7" s="11" t="s">
        <v>180</v>
      </c>
      <c r="J7" s="11" t="s">
        <v>181</v>
      </c>
      <c r="K7" s="11" t="s">
        <v>182</v>
      </c>
      <c r="L7" s="11" t="s">
        <v>17</v>
      </c>
      <c r="M7" s="11" t="s">
        <v>2</v>
      </c>
      <c r="N7" s="11" t="s">
        <v>3</v>
      </c>
      <c r="O7" s="11" t="s">
        <v>183</v>
      </c>
      <c r="P7" s="11" t="s">
        <v>184</v>
      </c>
      <c r="Q7" s="11" t="s">
        <v>27</v>
      </c>
      <c r="R7" s="11" t="s">
        <v>5</v>
      </c>
      <c r="S7" s="11"/>
      <c r="T7" s="11" t="s">
        <v>185</v>
      </c>
      <c r="U7" s="11" t="s">
        <v>6</v>
      </c>
      <c r="V7" s="12">
        <v>2000</v>
      </c>
      <c r="W7" s="11" t="s">
        <v>186</v>
      </c>
      <c r="X7" s="11" t="s">
        <v>15</v>
      </c>
      <c r="Y7" s="11" t="s">
        <v>187</v>
      </c>
    </row>
    <row r="8" spans="1:25" ht="45" customHeight="1" x14ac:dyDescent="0.4">
      <c r="A8" s="13" t="s">
        <v>8</v>
      </c>
      <c r="B8" s="13">
        <v>2</v>
      </c>
      <c r="C8" s="13" t="s">
        <v>72</v>
      </c>
      <c r="D8" s="13" t="s">
        <v>188</v>
      </c>
      <c r="E8" s="13" t="s">
        <v>189</v>
      </c>
      <c r="F8" s="13" t="s">
        <v>190</v>
      </c>
      <c r="G8" s="13" t="s">
        <v>126</v>
      </c>
      <c r="H8" s="13" t="s">
        <v>125</v>
      </c>
      <c r="I8" s="13" t="s">
        <v>126</v>
      </c>
      <c r="J8" s="13" t="s">
        <v>191</v>
      </c>
      <c r="K8" s="13" t="s">
        <v>192</v>
      </c>
      <c r="L8" s="13" t="s">
        <v>1</v>
      </c>
      <c r="M8" s="13" t="s">
        <v>2</v>
      </c>
      <c r="N8" s="13" t="s">
        <v>11</v>
      </c>
      <c r="O8" s="13" t="s">
        <v>193</v>
      </c>
      <c r="P8" s="13" t="s">
        <v>194</v>
      </c>
      <c r="Q8" s="13" t="s">
        <v>20</v>
      </c>
      <c r="R8" s="13" t="s">
        <v>5</v>
      </c>
      <c r="S8" s="13"/>
      <c r="T8" s="13" t="s">
        <v>144</v>
      </c>
      <c r="U8" s="13" t="s">
        <v>6</v>
      </c>
      <c r="V8" s="14">
        <v>1200</v>
      </c>
      <c r="W8" s="13" t="s">
        <v>125</v>
      </c>
      <c r="X8" s="13" t="s">
        <v>15</v>
      </c>
      <c r="Y8" s="13"/>
    </row>
    <row r="9" spans="1:25" ht="45" customHeight="1" x14ac:dyDescent="0.4">
      <c r="A9" s="13" t="s">
        <v>8</v>
      </c>
      <c r="B9" s="13">
        <v>2</v>
      </c>
      <c r="C9" s="13" t="s">
        <v>72</v>
      </c>
      <c r="D9" s="13" t="s">
        <v>195</v>
      </c>
      <c r="E9" s="13" t="s">
        <v>196</v>
      </c>
      <c r="F9" s="13" t="s">
        <v>197</v>
      </c>
      <c r="G9" s="13" t="s">
        <v>126</v>
      </c>
      <c r="H9" s="13" t="s">
        <v>125</v>
      </c>
      <c r="I9" s="13" t="s">
        <v>126</v>
      </c>
      <c r="J9" s="13" t="s">
        <v>198</v>
      </c>
      <c r="K9" s="13" t="s">
        <v>199</v>
      </c>
      <c r="L9" s="13" t="s">
        <v>1</v>
      </c>
      <c r="M9" s="13" t="s">
        <v>2</v>
      </c>
      <c r="N9" s="13" t="s">
        <v>11</v>
      </c>
      <c r="O9" s="13" t="s">
        <v>193</v>
      </c>
      <c r="P9" s="13" t="s">
        <v>200</v>
      </c>
      <c r="Q9" s="13" t="s">
        <v>20</v>
      </c>
      <c r="R9" s="13" t="s">
        <v>5</v>
      </c>
      <c r="S9" s="13"/>
      <c r="T9" s="13" t="s">
        <v>144</v>
      </c>
      <c r="U9" s="13" t="s">
        <v>6</v>
      </c>
      <c r="V9" s="14">
        <v>1000</v>
      </c>
      <c r="W9" s="13" t="s">
        <v>125</v>
      </c>
      <c r="X9" s="13" t="s">
        <v>15</v>
      </c>
      <c r="Y9" s="13" t="s">
        <v>201</v>
      </c>
    </row>
    <row r="10" spans="1:25" ht="45" customHeight="1" x14ac:dyDescent="0.4">
      <c r="A10" s="11" t="s">
        <v>120</v>
      </c>
      <c r="B10" s="11">
        <v>3</v>
      </c>
      <c r="C10" s="11" t="s">
        <v>68</v>
      </c>
      <c r="D10" s="11" t="s">
        <v>202</v>
      </c>
      <c r="E10" s="11" t="s">
        <v>203</v>
      </c>
      <c r="F10" s="11" t="s">
        <v>204</v>
      </c>
      <c r="G10" s="11" t="s">
        <v>205</v>
      </c>
      <c r="H10" s="11" t="s">
        <v>125</v>
      </c>
      <c r="I10" s="11" t="s">
        <v>206</v>
      </c>
      <c r="J10" s="11" t="s">
        <v>207</v>
      </c>
      <c r="K10" s="11" t="s">
        <v>208</v>
      </c>
      <c r="L10" s="11" t="s">
        <v>17</v>
      </c>
      <c r="M10" s="11" t="s">
        <v>129</v>
      </c>
      <c r="N10" s="11" t="s">
        <v>11</v>
      </c>
      <c r="O10" s="11" t="s">
        <v>209</v>
      </c>
      <c r="P10" s="11" t="s">
        <v>210</v>
      </c>
      <c r="Q10" s="11" t="s">
        <v>12</v>
      </c>
      <c r="R10" s="11" t="s">
        <v>5</v>
      </c>
      <c r="S10" s="11"/>
      <c r="T10" s="11" t="s">
        <v>211</v>
      </c>
      <c r="U10" s="11" t="s">
        <v>6</v>
      </c>
      <c r="V10" s="12">
        <v>2500</v>
      </c>
      <c r="W10" s="11" t="s">
        <v>212</v>
      </c>
      <c r="X10" s="11" t="s">
        <v>7</v>
      </c>
      <c r="Y10" s="11" t="s">
        <v>213</v>
      </c>
    </row>
    <row r="11" spans="1:25" ht="45" customHeight="1" x14ac:dyDescent="0.4">
      <c r="A11" s="11" t="s">
        <v>120</v>
      </c>
      <c r="B11" s="11">
        <v>3</v>
      </c>
      <c r="C11" s="11" t="s">
        <v>68</v>
      </c>
      <c r="D11" s="11" t="s">
        <v>214</v>
      </c>
      <c r="E11" s="11" t="s">
        <v>215</v>
      </c>
      <c r="F11" s="11" t="s">
        <v>216</v>
      </c>
      <c r="G11" s="11" t="s">
        <v>126</v>
      </c>
      <c r="H11" s="11" t="s">
        <v>125</v>
      </c>
      <c r="I11" s="11" t="s">
        <v>126</v>
      </c>
      <c r="J11" s="11" t="s">
        <v>217</v>
      </c>
      <c r="K11" s="11" t="s">
        <v>218</v>
      </c>
      <c r="L11" s="11" t="s">
        <v>1</v>
      </c>
      <c r="M11" s="11" t="s">
        <v>2</v>
      </c>
      <c r="N11" s="11" t="s">
        <v>3</v>
      </c>
      <c r="O11" s="11" t="s">
        <v>219</v>
      </c>
      <c r="P11" s="11" t="s">
        <v>143</v>
      </c>
      <c r="Q11" s="11" t="s">
        <v>4</v>
      </c>
      <c r="R11" s="11" t="s">
        <v>5</v>
      </c>
      <c r="S11" s="11"/>
      <c r="T11" s="11" t="s">
        <v>220</v>
      </c>
      <c r="U11" s="11" t="s">
        <v>6</v>
      </c>
      <c r="V11" s="12">
        <v>2500</v>
      </c>
      <c r="W11" s="11" t="s">
        <v>221</v>
      </c>
      <c r="X11" s="11" t="s">
        <v>15</v>
      </c>
      <c r="Y11" s="11" t="s">
        <v>222</v>
      </c>
    </row>
    <row r="12" spans="1:25" ht="45" customHeight="1" x14ac:dyDescent="0.4">
      <c r="A12" s="13" t="s">
        <v>8</v>
      </c>
      <c r="B12" s="13">
        <v>3</v>
      </c>
      <c r="C12" s="13" t="s">
        <v>68</v>
      </c>
      <c r="D12" s="13" t="s">
        <v>223</v>
      </c>
      <c r="E12" s="13" t="s">
        <v>224</v>
      </c>
      <c r="F12" s="13" t="s">
        <v>225</v>
      </c>
      <c r="G12" s="13" t="s">
        <v>126</v>
      </c>
      <c r="H12" s="13" t="s">
        <v>226</v>
      </c>
      <c r="I12" s="13" t="s">
        <v>126</v>
      </c>
      <c r="J12" s="13" t="s">
        <v>227</v>
      </c>
      <c r="K12" s="13" t="s">
        <v>228</v>
      </c>
      <c r="L12" s="13" t="s">
        <v>1</v>
      </c>
      <c r="M12" s="13" t="s">
        <v>2</v>
      </c>
      <c r="N12" s="13" t="s">
        <v>3</v>
      </c>
      <c r="O12" s="13" t="s">
        <v>229</v>
      </c>
      <c r="P12" s="13" t="s">
        <v>230</v>
      </c>
      <c r="Q12" s="13" t="s">
        <v>4</v>
      </c>
      <c r="R12" s="13" t="s">
        <v>5</v>
      </c>
      <c r="S12" s="13"/>
      <c r="T12" s="13" t="s">
        <v>231</v>
      </c>
      <c r="U12" s="13" t="s">
        <v>6</v>
      </c>
      <c r="V12" s="14">
        <v>1800</v>
      </c>
      <c r="W12" s="13" t="s">
        <v>232</v>
      </c>
      <c r="X12" s="13" t="s">
        <v>15</v>
      </c>
      <c r="Y12" s="13"/>
    </row>
    <row r="13" spans="1:25" ht="45" customHeight="1" x14ac:dyDescent="0.4">
      <c r="A13" s="13" t="s">
        <v>8</v>
      </c>
      <c r="B13" s="13">
        <v>3</v>
      </c>
      <c r="C13" s="13" t="s">
        <v>68</v>
      </c>
      <c r="D13" s="13" t="s">
        <v>233</v>
      </c>
      <c r="E13" s="13" t="s">
        <v>234</v>
      </c>
      <c r="F13" s="13" t="s">
        <v>126</v>
      </c>
      <c r="G13" s="13" t="s">
        <v>126</v>
      </c>
      <c r="H13" s="13" t="s">
        <v>125</v>
      </c>
      <c r="I13" s="13" t="s">
        <v>126</v>
      </c>
      <c r="J13" s="13" t="s">
        <v>235</v>
      </c>
      <c r="K13" s="13" t="s">
        <v>236</v>
      </c>
      <c r="L13" s="13" t="s">
        <v>1</v>
      </c>
      <c r="M13" s="13" t="s">
        <v>2</v>
      </c>
      <c r="N13" s="13" t="s">
        <v>11</v>
      </c>
      <c r="O13" s="13" t="s">
        <v>237</v>
      </c>
      <c r="P13" s="13" t="s">
        <v>200</v>
      </c>
      <c r="Q13" s="13" t="s">
        <v>20</v>
      </c>
      <c r="R13" s="13" t="s">
        <v>5</v>
      </c>
      <c r="S13" s="13"/>
      <c r="T13" s="13" t="s">
        <v>144</v>
      </c>
      <c r="U13" s="13" t="s">
        <v>6</v>
      </c>
      <c r="V13" s="14">
        <v>800</v>
      </c>
      <c r="W13" s="13" t="s">
        <v>125</v>
      </c>
      <c r="X13" s="13" t="s">
        <v>23</v>
      </c>
      <c r="Y13" s="13"/>
    </row>
    <row r="14" spans="1:25" ht="45" customHeight="1" x14ac:dyDescent="0.4">
      <c r="A14" s="13" t="s">
        <v>8</v>
      </c>
      <c r="B14" s="13">
        <v>3</v>
      </c>
      <c r="C14" s="13" t="s">
        <v>68</v>
      </c>
      <c r="D14" s="13" t="s">
        <v>238</v>
      </c>
      <c r="E14" s="13" t="s">
        <v>239</v>
      </c>
      <c r="F14" s="13" t="s">
        <v>126</v>
      </c>
      <c r="G14" s="13" t="s">
        <v>126</v>
      </c>
      <c r="H14" s="13" t="s">
        <v>226</v>
      </c>
      <c r="I14" s="13" t="s">
        <v>126</v>
      </c>
      <c r="J14" s="13" t="s">
        <v>240</v>
      </c>
      <c r="K14" s="13" t="s">
        <v>228</v>
      </c>
      <c r="L14" s="13" t="s">
        <v>1</v>
      </c>
      <c r="M14" s="13" t="s">
        <v>2</v>
      </c>
      <c r="N14" s="13" t="s">
        <v>11</v>
      </c>
      <c r="O14" s="13" t="s">
        <v>241</v>
      </c>
      <c r="P14" s="13" t="s">
        <v>200</v>
      </c>
      <c r="Q14" s="13" t="s">
        <v>20</v>
      </c>
      <c r="R14" s="13" t="s">
        <v>5</v>
      </c>
      <c r="S14" s="13"/>
      <c r="T14" s="13" t="s">
        <v>144</v>
      </c>
      <c r="U14" s="13" t="s">
        <v>6</v>
      </c>
      <c r="V14" s="14">
        <v>800</v>
      </c>
      <c r="W14" s="13" t="s">
        <v>226</v>
      </c>
      <c r="X14" s="13" t="s">
        <v>15</v>
      </c>
      <c r="Y14" s="13"/>
    </row>
    <row r="15" spans="1:25" ht="45" customHeight="1" x14ac:dyDescent="0.4">
      <c r="A15" s="13" t="s">
        <v>8</v>
      </c>
      <c r="B15" s="13">
        <v>3</v>
      </c>
      <c r="C15" s="13" t="s">
        <v>68</v>
      </c>
      <c r="D15" s="13" t="s">
        <v>242</v>
      </c>
      <c r="E15" s="13" t="s">
        <v>243</v>
      </c>
      <c r="F15" s="13" t="s">
        <v>126</v>
      </c>
      <c r="G15" s="13" t="s">
        <v>126</v>
      </c>
      <c r="H15" s="13" t="s">
        <v>226</v>
      </c>
      <c r="I15" s="13" t="s">
        <v>126</v>
      </c>
      <c r="J15" s="13" t="s">
        <v>235</v>
      </c>
      <c r="K15" s="13" t="s">
        <v>228</v>
      </c>
      <c r="L15" s="13" t="s">
        <v>1</v>
      </c>
      <c r="M15" s="13" t="s">
        <v>2</v>
      </c>
      <c r="N15" s="13" t="s">
        <v>11</v>
      </c>
      <c r="O15" s="13" t="s">
        <v>241</v>
      </c>
      <c r="P15" s="13" t="s">
        <v>200</v>
      </c>
      <c r="Q15" s="13" t="s">
        <v>20</v>
      </c>
      <c r="R15" s="13" t="s">
        <v>5</v>
      </c>
      <c r="S15" s="13"/>
      <c r="T15" s="13" t="s">
        <v>144</v>
      </c>
      <c r="U15" s="13" t="s">
        <v>6</v>
      </c>
      <c r="V15" s="14">
        <v>800</v>
      </c>
      <c r="W15" s="13" t="s">
        <v>226</v>
      </c>
      <c r="X15" s="13" t="s">
        <v>15</v>
      </c>
      <c r="Y15" s="13"/>
    </row>
    <row r="16" spans="1:25" ht="45" customHeight="1" x14ac:dyDescent="0.4">
      <c r="A16" s="15" t="s">
        <v>244</v>
      </c>
      <c r="B16" s="15">
        <v>3</v>
      </c>
      <c r="C16" s="15" t="s">
        <v>68</v>
      </c>
      <c r="D16" s="15" t="s">
        <v>245</v>
      </c>
      <c r="E16" s="15" t="s">
        <v>246</v>
      </c>
      <c r="F16" s="15" t="s">
        <v>126</v>
      </c>
      <c r="G16" s="15" t="s">
        <v>126</v>
      </c>
      <c r="H16" s="15" t="s">
        <v>226</v>
      </c>
      <c r="I16" s="15" t="s">
        <v>126</v>
      </c>
      <c r="J16" s="15" t="s">
        <v>247</v>
      </c>
      <c r="K16" s="15" t="s">
        <v>228</v>
      </c>
      <c r="L16" s="15" t="s">
        <v>1</v>
      </c>
      <c r="M16" s="15" t="s">
        <v>2</v>
      </c>
      <c r="N16" s="15" t="s">
        <v>11</v>
      </c>
      <c r="O16" s="15" t="s">
        <v>241</v>
      </c>
      <c r="P16" s="15" t="s">
        <v>200</v>
      </c>
      <c r="Q16" s="15" t="s">
        <v>30</v>
      </c>
      <c r="R16" s="15" t="s">
        <v>5</v>
      </c>
      <c r="S16" s="15"/>
      <c r="T16" s="15" t="s">
        <v>248</v>
      </c>
      <c r="U16" s="15" t="s">
        <v>6</v>
      </c>
      <c r="V16" s="16">
        <v>600</v>
      </c>
      <c r="W16" s="15" t="s">
        <v>226</v>
      </c>
      <c r="X16" s="15" t="s">
        <v>15</v>
      </c>
      <c r="Y16" s="15"/>
    </row>
    <row r="17" spans="1:25" ht="45" customHeight="1" x14ac:dyDescent="0.4">
      <c r="A17" s="15" t="s">
        <v>244</v>
      </c>
      <c r="B17" s="15">
        <v>3</v>
      </c>
      <c r="C17" s="15" t="s">
        <v>68</v>
      </c>
      <c r="D17" s="15" t="s">
        <v>249</v>
      </c>
      <c r="E17" s="15" t="s">
        <v>250</v>
      </c>
      <c r="F17" s="15" t="s">
        <v>126</v>
      </c>
      <c r="G17" s="15" t="s">
        <v>126</v>
      </c>
      <c r="H17" s="15" t="s">
        <v>251</v>
      </c>
      <c r="I17" s="15" t="s">
        <v>126</v>
      </c>
      <c r="J17" s="15" t="s">
        <v>252</v>
      </c>
      <c r="K17" s="15" t="s">
        <v>228</v>
      </c>
      <c r="L17" s="15" t="s">
        <v>1</v>
      </c>
      <c r="M17" s="15" t="s">
        <v>2</v>
      </c>
      <c r="N17" s="15" t="s">
        <v>11</v>
      </c>
      <c r="O17" s="15" t="s">
        <v>193</v>
      </c>
      <c r="P17" s="15" t="s">
        <v>200</v>
      </c>
      <c r="Q17" s="15" t="s">
        <v>30</v>
      </c>
      <c r="R17" s="15" t="s">
        <v>5</v>
      </c>
      <c r="S17" s="15"/>
      <c r="T17" s="15" t="s">
        <v>248</v>
      </c>
      <c r="U17" s="15" t="s">
        <v>6</v>
      </c>
      <c r="V17" s="16">
        <v>500</v>
      </c>
      <c r="W17" s="15" t="s">
        <v>251</v>
      </c>
      <c r="X17" s="15" t="s">
        <v>23</v>
      </c>
      <c r="Y17" s="15" t="s">
        <v>253</v>
      </c>
    </row>
    <row r="18" spans="1:25" ht="45" customHeight="1" x14ac:dyDescent="0.4">
      <c r="A18" s="11" t="s">
        <v>120</v>
      </c>
      <c r="B18" s="11">
        <v>4</v>
      </c>
      <c r="C18" s="11" t="s">
        <v>254</v>
      </c>
      <c r="D18" s="11" t="s">
        <v>255</v>
      </c>
      <c r="E18" s="11" t="s">
        <v>256</v>
      </c>
      <c r="F18" s="11" t="s">
        <v>257</v>
      </c>
      <c r="G18" s="11" t="s">
        <v>126</v>
      </c>
      <c r="H18" s="11" t="s">
        <v>125</v>
      </c>
      <c r="I18" s="11" t="s">
        <v>126</v>
      </c>
      <c r="J18" s="11" t="s">
        <v>258</v>
      </c>
      <c r="K18" s="11" t="s">
        <v>259</v>
      </c>
      <c r="L18" s="11" t="s">
        <v>1</v>
      </c>
      <c r="M18" s="11" t="s">
        <v>2</v>
      </c>
      <c r="N18" s="11" t="s">
        <v>3</v>
      </c>
      <c r="O18" s="11" t="s">
        <v>260</v>
      </c>
      <c r="P18" s="11" t="s">
        <v>143</v>
      </c>
      <c r="Q18" s="11" t="s">
        <v>4</v>
      </c>
      <c r="R18" s="11" t="s">
        <v>5</v>
      </c>
      <c r="S18" s="11"/>
      <c r="T18" s="11" t="s">
        <v>154</v>
      </c>
      <c r="U18" s="11" t="s">
        <v>6</v>
      </c>
      <c r="V18" s="12">
        <v>2500</v>
      </c>
      <c r="W18" s="11" t="s">
        <v>261</v>
      </c>
      <c r="X18" s="11" t="s">
        <v>15</v>
      </c>
      <c r="Y18" s="11" t="s">
        <v>262</v>
      </c>
    </row>
    <row r="19" spans="1:25" ht="45" customHeight="1" x14ac:dyDescent="0.4">
      <c r="A19" s="13" t="s">
        <v>8</v>
      </c>
      <c r="B19" s="13">
        <v>4</v>
      </c>
      <c r="C19" s="13" t="s">
        <v>254</v>
      </c>
      <c r="D19" s="13" t="s">
        <v>263</v>
      </c>
      <c r="E19" s="13" t="s">
        <v>264</v>
      </c>
      <c r="F19" s="13" t="s">
        <v>265</v>
      </c>
      <c r="G19" s="13" t="s">
        <v>126</v>
      </c>
      <c r="H19" s="13" t="s">
        <v>125</v>
      </c>
      <c r="I19" s="13" t="s">
        <v>126</v>
      </c>
      <c r="J19" s="13" t="s">
        <v>266</v>
      </c>
      <c r="K19" s="13" t="s">
        <v>267</v>
      </c>
      <c r="L19" s="13" t="s">
        <v>1</v>
      </c>
      <c r="M19" s="13" t="s">
        <v>2</v>
      </c>
      <c r="N19" s="13" t="s">
        <v>3</v>
      </c>
      <c r="O19" s="13" t="s">
        <v>268</v>
      </c>
      <c r="P19" s="13" t="s">
        <v>269</v>
      </c>
      <c r="Q19" s="13" t="s">
        <v>4</v>
      </c>
      <c r="R19" s="13" t="s">
        <v>5</v>
      </c>
      <c r="S19" s="13"/>
      <c r="T19" s="13" t="s">
        <v>270</v>
      </c>
      <c r="U19" s="13" t="s">
        <v>6</v>
      </c>
      <c r="V19" s="14">
        <v>2000</v>
      </c>
      <c r="W19" s="13" t="s">
        <v>125</v>
      </c>
      <c r="X19" s="13" t="s">
        <v>15</v>
      </c>
      <c r="Y19" s="13" t="s">
        <v>271</v>
      </c>
    </row>
    <row r="20" spans="1:25" ht="45" customHeight="1" x14ac:dyDescent="0.4">
      <c r="A20" s="13" t="s">
        <v>8</v>
      </c>
      <c r="B20" s="13">
        <v>4</v>
      </c>
      <c r="C20" s="13" t="s">
        <v>254</v>
      </c>
      <c r="D20" s="13" t="s">
        <v>272</v>
      </c>
      <c r="E20" s="13" t="s">
        <v>273</v>
      </c>
      <c r="F20" s="13" t="s">
        <v>274</v>
      </c>
      <c r="G20" s="13" t="s">
        <v>126</v>
      </c>
      <c r="H20" s="13" t="s">
        <v>125</v>
      </c>
      <c r="I20" s="13" t="s">
        <v>126</v>
      </c>
      <c r="J20" s="13" t="s">
        <v>275</v>
      </c>
      <c r="K20" s="13" t="s">
        <v>276</v>
      </c>
      <c r="L20" s="13" t="s">
        <v>1</v>
      </c>
      <c r="M20" s="13" t="s">
        <v>2</v>
      </c>
      <c r="N20" s="13" t="s">
        <v>11</v>
      </c>
      <c r="O20" s="13" t="s">
        <v>241</v>
      </c>
      <c r="P20" s="13" t="s">
        <v>200</v>
      </c>
      <c r="Q20" s="13" t="s">
        <v>20</v>
      </c>
      <c r="R20" s="13" t="s">
        <v>5</v>
      </c>
      <c r="S20" s="13"/>
      <c r="T20" s="13" t="s">
        <v>144</v>
      </c>
      <c r="U20" s="13" t="s">
        <v>6</v>
      </c>
      <c r="V20" s="14">
        <v>1000</v>
      </c>
      <c r="W20" s="13" t="s">
        <v>277</v>
      </c>
      <c r="X20" s="13" t="s">
        <v>15</v>
      </c>
      <c r="Y20" s="13"/>
    </row>
    <row r="21" spans="1:25" ht="45" customHeight="1" x14ac:dyDescent="0.4">
      <c r="A21" s="13" t="s">
        <v>8</v>
      </c>
      <c r="B21" s="13">
        <v>4</v>
      </c>
      <c r="C21" s="13" t="s">
        <v>254</v>
      </c>
      <c r="D21" s="13" t="s">
        <v>278</v>
      </c>
      <c r="E21" s="13" t="s">
        <v>279</v>
      </c>
      <c r="F21" s="13" t="s">
        <v>280</v>
      </c>
      <c r="G21" s="13" t="s">
        <v>126</v>
      </c>
      <c r="H21" s="13" t="s">
        <v>226</v>
      </c>
      <c r="I21" s="13" t="s">
        <v>126</v>
      </c>
      <c r="J21" s="13" t="s">
        <v>281</v>
      </c>
      <c r="K21" s="13" t="s">
        <v>228</v>
      </c>
      <c r="L21" s="13" t="s">
        <v>1</v>
      </c>
      <c r="M21" s="13" t="s">
        <v>2</v>
      </c>
      <c r="N21" s="13" t="s">
        <v>11</v>
      </c>
      <c r="O21" s="13" t="s">
        <v>241</v>
      </c>
      <c r="P21" s="13" t="s">
        <v>200</v>
      </c>
      <c r="Q21" s="13" t="s">
        <v>20</v>
      </c>
      <c r="R21" s="13" t="s">
        <v>5</v>
      </c>
      <c r="S21" s="13"/>
      <c r="T21" s="13" t="s">
        <v>144</v>
      </c>
      <c r="U21" s="13" t="s">
        <v>6</v>
      </c>
      <c r="V21" s="14">
        <v>1000</v>
      </c>
      <c r="W21" s="13" t="s">
        <v>221</v>
      </c>
      <c r="X21" s="13" t="s">
        <v>15</v>
      </c>
      <c r="Y21" s="13"/>
    </row>
    <row r="22" spans="1:25" ht="45" customHeight="1" x14ac:dyDescent="0.4">
      <c r="A22" s="11" t="s">
        <v>120</v>
      </c>
      <c r="B22" s="11">
        <v>5</v>
      </c>
      <c r="C22" s="11" t="s">
        <v>282</v>
      </c>
      <c r="D22" s="11" t="s">
        <v>283</v>
      </c>
      <c r="E22" s="11" t="s">
        <v>284</v>
      </c>
      <c r="F22" s="11" t="s">
        <v>285</v>
      </c>
      <c r="G22" s="11" t="s">
        <v>126</v>
      </c>
      <c r="H22" s="11" t="s">
        <v>125</v>
      </c>
      <c r="I22" s="11" t="s">
        <v>180</v>
      </c>
      <c r="J22" s="11" t="s">
        <v>286</v>
      </c>
      <c r="K22" s="11" t="s">
        <v>287</v>
      </c>
      <c r="L22" s="11" t="s">
        <v>9</v>
      </c>
      <c r="M22" s="11" t="s">
        <v>129</v>
      </c>
      <c r="N22" s="11" t="s">
        <v>3</v>
      </c>
      <c r="O22" s="11" t="s">
        <v>288</v>
      </c>
      <c r="P22" s="11" t="s">
        <v>289</v>
      </c>
      <c r="Q22" s="11" t="s">
        <v>12</v>
      </c>
      <c r="R22" s="11" t="s">
        <v>5</v>
      </c>
      <c r="S22" s="11"/>
      <c r="T22" s="11" t="s">
        <v>290</v>
      </c>
      <c r="U22" s="11" t="s">
        <v>6</v>
      </c>
      <c r="V22" s="12">
        <v>2500</v>
      </c>
      <c r="W22" s="11" t="s">
        <v>166</v>
      </c>
      <c r="X22" s="11" t="s">
        <v>15</v>
      </c>
      <c r="Y22" s="11" t="s">
        <v>291</v>
      </c>
    </row>
    <row r="23" spans="1:25" ht="45" customHeight="1" x14ac:dyDescent="0.4">
      <c r="A23" s="11" t="s">
        <v>120</v>
      </c>
      <c r="B23" s="11">
        <v>5</v>
      </c>
      <c r="C23" s="11" t="s">
        <v>282</v>
      </c>
      <c r="D23" s="11" t="s">
        <v>292</v>
      </c>
      <c r="E23" s="11" t="s">
        <v>293</v>
      </c>
      <c r="F23" s="11" t="s">
        <v>126</v>
      </c>
      <c r="G23" s="11" t="s">
        <v>294</v>
      </c>
      <c r="H23" s="11" t="s">
        <v>126</v>
      </c>
      <c r="I23" s="11" t="s">
        <v>295</v>
      </c>
      <c r="J23" s="11" t="s">
        <v>296</v>
      </c>
      <c r="K23" s="11" t="s">
        <v>1</v>
      </c>
      <c r="L23" s="11" t="s">
        <v>2</v>
      </c>
      <c r="M23" s="11" t="s">
        <v>3</v>
      </c>
      <c r="N23" s="11" t="s">
        <v>297</v>
      </c>
      <c r="O23" s="11" t="s">
        <v>298</v>
      </c>
      <c r="P23" s="11" t="s">
        <v>4</v>
      </c>
      <c r="Q23" s="11" t="s">
        <v>5</v>
      </c>
      <c r="R23" s="11"/>
      <c r="S23" s="11" t="s">
        <v>144</v>
      </c>
      <c r="T23" s="11" t="s">
        <v>6</v>
      </c>
      <c r="U23" s="11">
        <v>3000</v>
      </c>
      <c r="V23" s="12" t="s">
        <v>294</v>
      </c>
      <c r="W23" s="11" t="s">
        <v>15</v>
      </c>
      <c r="X23" s="11" t="s">
        <v>299</v>
      </c>
      <c r="Y23" s="11"/>
    </row>
    <row r="24" spans="1:25" ht="45" customHeight="1" x14ac:dyDescent="0.4">
      <c r="A24" s="13" t="s">
        <v>8</v>
      </c>
      <c r="B24" s="13">
        <v>5</v>
      </c>
      <c r="C24" s="13" t="s">
        <v>282</v>
      </c>
      <c r="D24" s="13" t="s">
        <v>300</v>
      </c>
      <c r="E24" s="13" t="s">
        <v>301</v>
      </c>
      <c r="F24" s="13" t="s">
        <v>126</v>
      </c>
      <c r="G24" s="13" t="s">
        <v>126</v>
      </c>
      <c r="H24" s="13" t="s">
        <v>226</v>
      </c>
      <c r="I24" s="13" t="s">
        <v>126</v>
      </c>
      <c r="J24" s="13" t="s">
        <v>302</v>
      </c>
      <c r="K24" s="13" t="s">
        <v>228</v>
      </c>
      <c r="L24" s="13" t="s">
        <v>1</v>
      </c>
      <c r="M24" s="13" t="s">
        <v>2</v>
      </c>
      <c r="N24" s="13" t="s">
        <v>3</v>
      </c>
      <c r="O24" s="13" t="s">
        <v>303</v>
      </c>
      <c r="P24" s="13" t="s">
        <v>304</v>
      </c>
      <c r="Q24" s="13" t="s">
        <v>4</v>
      </c>
      <c r="R24" s="13" t="s">
        <v>5</v>
      </c>
      <c r="S24" s="13"/>
      <c r="T24" s="13" t="s">
        <v>144</v>
      </c>
      <c r="U24" s="13" t="s">
        <v>6</v>
      </c>
      <c r="V24" s="14">
        <v>1500</v>
      </c>
      <c r="W24" s="13" t="s">
        <v>226</v>
      </c>
      <c r="X24" s="13" t="s">
        <v>15</v>
      </c>
      <c r="Y24" s="13"/>
    </row>
    <row r="25" spans="1:25" ht="45" customHeight="1" x14ac:dyDescent="0.4">
      <c r="A25" s="13" t="s">
        <v>8</v>
      </c>
      <c r="B25" s="13">
        <v>5</v>
      </c>
      <c r="C25" s="13" t="s">
        <v>282</v>
      </c>
      <c r="D25" s="13" t="s">
        <v>305</v>
      </c>
      <c r="E25" s="13" t="s">
        <v>306</v>
      </c>
      <c r="F25" s="13" t="s">
        <v>307</v>
      </c>
      <c r="G25" s="13" t="s">
        <v>126</v>
      </c>
      <c r="H25" s="13" t="s">
        <v>125</v>
      </c>
      <c r="I25" s="13" t="s">
        <v>126</v>
      </c>
      <c r="J25" s="13" t="s">
        <v>308</v>
      </c>
      <c r="K25" s="13" t="s">
        <v>309</v>
      </c>
      <c r="L25" s="13" t="s">
        <v>1</v>
      </c>
      <c r="M25" s="13" t="s">
        <v>2</v>
      </c>
      <c r="N25" s="13" t="s">
        <v>11</v>
      </c>
      <c r="O25" s="13" t="s">
        <v>241</v>
      </c>
      <c r="P25" s="13" t="s">
        <v>200</v>
      </c>
      <c r="Q25" s="13" t="s">
        <v>20</v>
      </c>
      <c r="R25" s="13" t="s">
        <v>5</v>
      </c>
      <c r="S25" s="13"/>
      <c r="T25" s="13" t="s">
        <v>144</v>
      </c>
      <c r="U25" s="13" t="s">
        <v>6</v>
      </c>
      <c r="V25" s="14">
        <v>1200</v>
      </c>
      <c r="W25" s="13" t="s">
        <v>145</v>
      </c>
      <c r="X25" s="13" t="s">
        <v>15</v>
      </c>
      <c r="Y25" s="13"/>
    </row>
    <row r="26" spans="1:25" ht="45" customHeight="1" x14ac:dyDescent="0.4">
      <c r="A26" s="13" t="s">
        <v>8</v>
      </c>
      <c r="B26" s="13">
        <v>5</v>
      </c>
      <c r="C26" s="13" t="s">
        <v>282</v>
      </c>
      <c r="D26" s="13" t="s">
        <v>310</v>
      </c>
      <c r="E26" s="13" t="s">
        <v>311</v>
      </c>
      <c r="F26" s="13" t="s">
        <v>126</v>
      </c>
      <c r="G26" s="13" t="s">
        <v>126</v>
      </c>
      <c r="H26" s="13" t="s">
        <v>125</v>
      </c>
      <c r="I26" s="13" t="s">
        <v>126</v>
      </c>
      <c r="J26" s="13" t="s">
        <v>312</v>
      </c>
      <c r="K26" s="13" t="s">
        <v>313</v>
      </c>
      <c r="L26" s="13" t="s">
        <v>1</v>
      </c>
      <c r="M26" s="13" t="s">
        <v>2</v>
      </c>
      <c r="N26" s="13" t="s">
        <v>11</v>
      </c>
      <c r="O26" s="13" t="s">
        <v>241</v>
      </c>
      <c r="P26" s="13" t="s">
        <v>200</v>
      </c>
      <c r="Q26" s="13" t="s">
        <v>20</v>
      </c>
      <c r="R26" s="13" t="s">
        <v>5</v>
      </c>
      <c r="S26" s="13"/>
      <c r="T26" s="13" t="s">
        <v>144</v>
      </c>
      <c r="U26" s="13" t="s">
        <v>6</v>
      </c>
      <c r="V26" s="14">
        <v>1000</v>
      </c>
      <c r="W26" s="13" t="s">
        <v>139</v>
      </c>
      <c r="X26" s="13" t="s">
        <v>15</v>
      </c>
      <c r="Y26" s="13"/>
    </row>
    <row r="27" spans="1:25" ht="45" customHeight="1" x14ac:dyDescent="0.4">
      <c r="A27" s="13" t="s">
        <v>8</v>
      </c>
      <c r="B27" s="13">
        <v>5</v>
      </c>
      <c r="C27" s="13" t="s">
        <v>282</v>
      </c>
      <c r="D27" s="13" t="s">
        <v>314</v>
      </c>
      <c r="E27" s="13" t="s">
        <v>315</v>
      </c>
      <c r="F27" s="13" t="s">
        <v>316</v>
      </c>
      <c r="G27" s="13" t="s">
        <v>126</v>
      </c>
      <c r="H27" s="13" t="s">
        <v>125</v>
      </c>
      <c r="I27" s="13" t="s">
        <v>126</v>
      </c>
      <c r="J27" s="13" t="s">
        <v>198</v>
      </c>
      <c r="K27" s="13" t="s">
        <v>317</v>
      </c>
      <c r="L27" s="13" t="s">
        <v>1</v>
      </c>
      <c r="M27" s="13" t="s">
        <v>2</v>
      </c>
      <c r="N27" s="13" t="s">
        <v>11</v>
      </c>
      <c r="O27" s="13" t="s">
        <v>241</v>
      </c>
      <c r="P27" s="13" t="s">
        <v>200</v>
      </c>
      <c r="Q27" s="13" t="s">
        <v>20</v>
      </c>
      <c r="R27" s="13" t="s">
        <v>5</v>
      </c>
      <c r="S27" s="13"/>
      <c r="T27" s="13" t="s">
        <v>144</v>
      </c>
      <c r="U27" s="13" t="s">
        <v>6</v>
      </c>
      <c r="V27" s="14">
        <v>1000</v>
      </c>
      <c r="W27" s="13" t="s">
        <v>318</v>
      </c>
      <c r="X27" s="13" t="s">
        <v>15</v>
      </c>
      <c r="Y27" s="13"/>
    </row>
    <row r="28" spans="1:25" ht="45" customHeight="1" x14ac:dyDescent="0.4">
      <c r="A28" s="13" t="s">
        <v>8</v>
      </c>
      <c r="B28" s="13">
        <v>5</v>
      </c>
      <c r="C28" s="13" t="s">
        <v>282</v>
      </c>
      <c r="D28" s="13" t="s">
        <v>319</v>
      </c>
      <c r="E28" s="13" t="s">
        <v>320</v>
      </c>
      <c r="F28" s="13" t="s">
        <v>321</v>
      </c>
      <c r="G28" s="13" t="s">
        <v>126</v>
      </c>
      <c r="H28" s="13" t="s">
        <v>322</v>
      </c>
      <c r="I28" s="13" t="s">
        <v>126</v>
      </c>
      <c r="J28" s="13" t="s">
        <v>323</v>
      </c>
      <c r="K28" s="13" t="s">
        <v>228</v>
      </c>
      <c r="L28" s="13" t="s">
        <v>1</v>
      </c>
      <c r="M28" s="13" t="s">
        <v>2</v>
      </c>
      <c r="N28" s="13" t="s">
        <v>11</v>
      </c>
      <c r="O28" s="13" t="s">
        <v>241</v>
      </c>
      <c r="P28" s="13" t="s">
        <v>200</v>
      </c>
      <c r="Q28" s="13" t="s">
        <v>20</v>
      </c>
      <c r="R28" s="13" t="s">
        <v>5</v>
      </c>
      <c r="S28" s="13"/>
      <c r="T28" s="13" t="s">
        <v>144</v>
      </c>
      <c r="U28" s="13" t="s">
        <v>6</v>
      </c>
      <c r="V28" s="14">
        <v>800</v>
      </c>
      <c r="W28" s="13" t="s">
        <v>322</v>
      </c>
      <c r="X28" s="13" t="s">
        <v>15</v>
      </c>
      <c r="Y28" s="13"/>
    </row>
    <row r="29" spans="1:25" ht="45" customHeight="1" x14ac:dyDescent="0.4">
      <c r="A29" s="13" t="s">
        <v>8</v>
      </c>
      <c r="B29" s="13">
        <v>5</v>
      </c>
      <c r="C29" s="13" t="s">
        <v>282</v>
      </c>
      <c r="D29" s="13" t="s">
        <v>324</v>
      </c>
      <c r="E29" s="13" t="s">
        <v>325</v>
      </c>
      <c r="F29" s="13" t="s">
        <v>126</v>
      </c>
      <c r="G29" s="13" t="s">
        <v>126</v>
      </c>
      <c r="H29" s="13" t="s">
        <v>251</v>
      </c>
      <c r="I29" s="13" t="s">
        <v>126</v>
      </c>
      <c r="J29" s="13" t="s">
        <v>326</v>
      </c>
      <c r="K29" s="13" t="s">
        <v>327</v>
      </c>
      <c r="L29" s="13" t="s">
        <v>1</v>
      </c>
      <c r="M29" s="13" t="s">
        <v>2</v>
      </c>
      <c r="N29" s="13" t="s">
        <v>11</v>
      </c>
      <c r="O29" s="13" t="s">
        <v>328</v>
      </c>
      <c r="P29" s="13" t="s">
        <v>329</v>
      </c>
      <c r="Q29" s="13" t="s">
        <v>20</v>
      </c>
      <c r="R29" s="13" t="s">
        <v>5</v>
      </c>
      <c r="S29" s="13"/>
      <c r="T29" s="13" t="s">
        <v>248</v>
      </c>
      <c r="U29" s="13" t="s">
        <v>6</v>
      </c>
      <c r="V29" s="14">
        <v>600</v>
      </c>
      <c r="W29" s="13" t="s">
        <v>139</v>
      </c>
      <c r="X29" s="13" t="s">
        <v>15</v>
      </c>
      <c r="Y29" s="13" t="s">
        <v>330</v>
      </c>
    </row>
    <row r="30" spans="1:25" ht="45" customHeight="1" x14ac:dyDescent="0.4">
      <c r="A30" s="13" t="s">
        <v>8</v>
      </c>
      <c r="B30" s="13">
        <v>5</v>
      </c>
      <c r="C30" s="13" t="s">
        <v>282</v>
      </c>
      <c r="D30" s="13" t="s">
        <v>331</v>
      </c>
      <c r="E30" s="13" t="s">
        <v>332</v>
      </c>
      <c r="F30" s="13" t="s">
        <v>126</v>
      </c>
      <c r="G30" s="13" t="s">
        <v>126</v>
      </c>
      <c r="H30" s="13" t="s">
        <v>125</v>
      </c>
      <c r="I30" s="13" t="s">
        <v>126</v>
      </c>
      <c r="J30" s="13" t="s">
        <v>275</v>
      </c>
      <c r="K30" s="13" t="s">
        <v>333</v>
      </c>
      <c r="L30" s="13" t="s">
        <v>1</v>
      </c>
      <c r="M30" s="13" t="s">
        <v>2</v>
      </c>
      <c r="N30" s="13" t="s">
        <v>11</v>
      </c>
      <c r="O30" s="13" t="s">
        <v>241</v>
      </c>
      <c r="P30" s="13" t="s">
        <v>200</v>
      </c>
      <c r="Q30" s="13" t="s">
        <v>20</v>
      </c>
      <c r="R30" s="13" t="s">
        <v>5</v>
      </c>
      <c r="S30" s="13"/>
      <c r="T30" s="13" t="s">
        <v>144</v>
      </c>
      <c r="U30" s="13" t="s">
        <v>6</v>
      </c>
      <c r="V30" s="14">
        <v>800</v>
      </c>
      <c r="W30" s="13" t="s">
        <v>277</v>
      </c>
      <c r="X30" s="13" t="s">
        <v>15</v>
      </c>
      <c r="Y30" s="13"/>
    </row>
    <row r="31" spans="1:25" ht="45" customHeight="1" x14ac:dyDescent="0.4">
      <c r="A31" s="13" t="s">
        <v>8</v>
      </c>
      <c r="B31" s="13">
        <v>5</v>
      </c>
      <c r="C31" s="13" t="s">
        <v>282</v>
      </c>
      <c r="D31" s="13" t="s">
        <v>334</v>
      </c>
      <c r="E31" s="13" t="s">
        <v>335</v>
      </c>
      <c r="F31" s="13" t="s">
        <v>336</v>
      </c>
      <c r="G31" s="13" t="s">
        <v>126</v>
      </c>
      <c r="H31" s="13" t="s">
        <v>251</v>
      </c>
      <c r="I31" s="13" t="s">
        <v>126</v>
      </c>
      <c r="J31" s="13" t="s">
        <v>235</v>
      </c>
      <c r="K31" s="13" t="s">
        <v>333</v>
      </c>
      <c r="L31" s="13" t="s">
        <v>1</v>
      </c>
      <c r="M31" s="13" t="s">
        <v>2</v>
      </c>
      <c r="N31" s="13" t="s">
        <v>11</v>
      </c>
      <c r="O31" s="13" t="s">
        <v>241</v>
      </c>
      <c r="P31" s="13" t="s">
        <v>200</v>
      </c>
      <c r="Q31" s="13" t="s">
        <v>20</v>
      </c>
      <c r="R31" s="13" t="s">
        <v>5</v>
      </c>
      <c r="S31" s="13"/>
      <c r="T31" s="13" t="s">
        <v>144</v>
      </c>
      <c r="U31" s="13" t="s">
        <v>6</v>
      </c>
      <c r="V31" s="14">
        <v>800</v>
      </c>
      <c r="W31" s="13" t="s">
        <v>139</v>
      </c>
      <c r="X31" s="13" t="s">
        <v>15</v>
      </c>
      <c r="Y31" s="13"/>
    </row>
    <row r="32" spans="1:25" ht="45" customHeight="1" x14ac:dyDescent="0.4">
      <c r="A32" s="13" t="s">
        <v>8</v>
      </c>
      <c r="B32" s="13">
        <v>5</v>
      </c>
      <c r="C32" s="13" t="s">
        <v>282</v>
      </c>
      <c r="D32" s="13" t="s">
        <v>337</v>
      </c>
      <c r="E32" s="13" t="s">
        <v>338</v>
      </c>
      <c r="F32" s="13" t="s">
        <v>216</v>
      </c>
      <c r="G32" s="13" t="s">
        <v>126</v>
      </c>
      <c r="H32" s="13" t="s">
        <v>125</v>
      </c>
      <c r="I32" s="13" t="s">
        <v>126</v>
      </c>
      <c r="J32" s="13" t="s">
        <v>339</v>
      </c>
      <c r="K32" s="13" t="s">
        <v>340</v>
      </c>
      <c r="L32" s="13" t="s">
        <v>1</v>
      </c>
      <c r="M32" s="13" t="s">
        <v>2</v>
      </c>
      <c r="N32" s="13" t="s">
        <v>11</v>
      </c>
      <c r="O32" s="13" t="s">
        <v>241</v>
      </c>
      <c r="P32" s="13" t="s">
        <v>200</v>
      </c>
      <c r="Q32" s="13" t="s">
        <v>20</v>
      </c>
      <c r="R32" s="13" t="s">
        <v>5</v>
      </c>
      <c r="S32" s="13"/>
      <c r="T32" s="13" t="s">
        <v>144</v>
      </c>
      <c r="U32" s="13" t="s">
        <v>6</v>
      </c>
      <c r="V32" s="14">
        <v>1000</v>
      </c>
      <c r="W32" s="13" t="s">
        <v>318</v>
      </c>
      <c r="X32" s="13" t="s">
        <v>15</v>
      </c>
      <c r="Y32" s="13"/>
    </row>
    <row r="33" spans="1:25" ht="45" customHeight="1" x14ac:dyDescent="0.4">
      <c r="A33" s="13" t="s">
        <v>8</v>
      </c>
      <c r="B33" s="13">
        <v>5</v>
      </c>
      <c r="C33" s="13" t="s">
        <v>282</v>
      </c>
      <c r="D33" s="13" t="s">
        <v>341</v>
      </c>
      <c r="E33" s="13" t="s">
        <v>342</v>
      </c>
      <c r="F33" s="13" t="s">
        <v>343</v>
      </c>
      <c r="G33" s="13" t="s">
        <v>126</v>
      </c>
      <c r="H33" s="13" t="s">
        <v>125</v>
      </c>
      <c r="I33" s="13" t="s">
        <v>344</v>
      </c>
      <c r="J33" s="13" t="s">
        <v>345</v>
      </c>
      <c r="K33" s="13" t="s">
        <v>346</v>
      </c>
      <c r="L33" s="13" t="s">
        <v>1</v>
      </c>
      <c r="M33" s="13" t="s">
        <v>2</v>
      </c>
      <c r="N33" s="13" t="s">
        <v>11</v>
      </c>
      <c r="O33" s="13" t="s">
        <v>347</v>
      </c>
      <c r="P33" s="13" t="s">
        <v>348</v>
      </c>
      <c r="Q33" s="13" t="s">
        <v>27</v>
      </c>
      <c r="R33" s="13" t="s">
        <v>5</v>
      </c>
      <c r="S33" s="13"/>
      <c r="T33" s="13" t="s">
        <v>349</v>
      </c>
      <c r="U33" s="13" t="s">
        <v>6</v>
      </c>
      <c r="V33" s="14">
        <v>1500</v>
      </c>
      <c r="W33" s="13" t="s">
        <v>318</v>
      </c>
      <c r="X33" s="13" t="s">
        <v>15</v>
      </c>
      <c r="Y33" s="13" t="s">
        <v>350</v>
      </c>
    </row>
    <row r="34" spans="1:25" ht="45" customHeight="1" x14ac:dyDescent="0.4">
      <c r="A34" s="15" t="s">
        <v>244</v>
      </c>
      <c r="B34" s="15">
        <v>5</v>
      </c>
      <c r="C34" s="15" t="s">
        <v>282</v>
      </c>
      <c r="D34" s="15" t="s">
        <v>351</v>
      </c>
      <c r="E34" s="15" t="s">
        <v>352</v>
      </c>
      <c r="F34" s="15" t="s">
        <v>126</v>
      </c>
      <c r="G34" s="15" t="s">
        <v>126</v>
      </c>
      <c r="H34" s="15" t="s">
        <v>322</v>
      </c>
      <c r="I34" s="15" t="s">
        <v>126</v>
      </c>
      <c r="J34" s="15" t="s">
        <v>235</v>
      </c>
      <c r="K34" s="15" t="s">
        <v>327</v>
      </c>
      <c r="L34" s="15" t="s">
        <v>1</v>
      </c>
      <c r="M34" s="15" t="s">
        <v>2</v>
      </c>
      <c r="N34" s="15" t="s">
        <v>11</v>
      </c>
      <c r="O34" s="15" t="s">
        <v>353</v>
      </c>
      <c r="P34" s="15" t="s">
        <v>200</v>
      </c>
      <c r="Q34" s="15" t="s">
        <v>30</v>
      </c>
      <c r="R34" s="15" t="s">
        <v>5</v>
      </c>
      <c r="S34" s="15"/>
      <c r="T34" s="15" t="s">
        <v>248</v>
      </c>
      <c r="U34" s="15" t="s">
        <v>6</v>
      </c>
      <c r="V34" s="16">
        <v>500</v>
      </c>
      <c r="W34" s="15" t="s">
        <v>322</v>
      </c>
      <c r="X34" s="15" t="s">
        <v>23</v>
      </c>
      <c r="Y34" s="15" t="s">
        <v>253</v>
      </c>
    </row>
    <row r="35" spans="1:25" ht="45" customHeight="1" x14ac:dyDescent="0.4">
      <c r="A35" s="15" t="s">
        <v>244</v>
      </c>
      <c r="B35" s="15">
        <v>5</v>
      </c>
      <c r="C35" s="15" t="s">
        <v>282</v>
      </c>
      <c r="D35" s="15" t="s">
        <v>354</v>
      </c>
      <c r="E35" s="15" t="s">
        <v>352</v>
      </c>
      <c r="F35" s="15" t="s">
        <v>126</v>
      </c>
      <c r="G35" s="15" t="s">
        <v>126</v>
      </c>
      <c r="H35" s="15" t="s">
        <v>322</v>
      </c>
      <c r="I35" s="15" t="s">
        <v>126</v>
      </c>
      <c r="J35" s="15" t="s">
        <v>323</v>
      </c>
      <c r="K35" s="15" t="s">
        <v>327</v>
      </c>
      <c r="L35" s="15" t="s">
        <v>1</v>
      </c>
      <c r="M35" s="15" t="s">
        <v>2</v>
      </c>
      <c r="N35" s="15" t="s">
        <v>19</v>
      </c>
      <c r="O35" s="15" t="s">
        <v>253</v>
      </c>
      <c r="P35" s="15" t="s">
        <v>355</v>
      </c>
      <c r="Q35" s="15" t="s">
        <v>30</v>
      </c>
      <c r="R35" s="15" t="s">
        <v>5</v>
      </c>
      <c r="S35" s="15"/>
      <c r="T35" s="15" t="s">
        <v>248</v>
      </c>
      <c r="U35" s="15" t="s">
        <v>6</v>
      </c>
      <c r="V35" s="16">
        <v>400</v>
      </c>
      <c r="W35" s="15" t="s">
        <v>322</v>
      </c>
      <c r="X35" s="15" t="s">
        <v>23</v>
      </c>
      <c r="Y35" s="15" t="s">
        <v>253</v>
      </c>
    </row>
    <row r="36" spans="1:25" ht="45" customHeight="1" x14ac:dyDescent="0.4">
      <c r="A36" s="15" t="s">
        <v>244</v>
      </c>
      <c r="B36" s="15">
        <v>5</v>
      </c>
      <c r="C36" s="15" t="s">
        <v>282</v>
      </c>
      <c r="D36" s="15" t="s">
        <v>356</v>
      </c>
      <c r="E36" s="15" t="s">
        <v>352</v>
      </c>
      <c r="F36" s="15" t="s">
        <v>126</v>
      </c>
      <c r="G36" s="15" t="s">
        <v>126</v>
      </c>
      <c r="H36" s="15" t="s">
        <v>125</v>
      </c>
      <c r="I36" s="15" t="s">
        <v>126</v>
      </c>
      <c r="J36" s="15" t="s">
        <v>357</v>
      </c>
      <c r="K36" s="15" t="s">
        <v>358</v>
      </c>
      <c r="L36" s="15" t="s">
        <v>1</v>
      </c>
      <c r="M36" s="15" t="s">
        <v>2</v>
      </c>
      <c r="N36" s="15" t="s">
        <v>11</v>
      </c>
      <c r="O36" s="15" t="s">
        <v>359</v>
      </c>
      <c r="P36" s="15" t="s">
        <v>200</v>
      </c>
      <c r="Q36" s="15" t="s">
        <v>30</v>
      </c>
      <c r="R36" s="15" t="s">
        <v>5</v>
      </c>
      <c r="S36" s="15"/>
      <c r="T36" s="15" t="s">
        <v>248</v>
      </c>
      <c r="U36" s="15" t="s">
        <v>6</v>
      </c>
      <c r="V36" s="16">
        <v>800</v>
      </c>
      <c r="W36" s="15" t="s">
        <v>318</v>
      </c>
      <c r="X36" s="15" t="s">
        <v>15</v>
      </c>
      <c r="Y36" s="15" t="s">
        <v>360</v>
      </c>
    </row>
    <row r="37" spans="1:25" ht="45" customHeight="1" x14ac:dyDescent="0.4">
      <c r="A37" s="13" t="s">
        <v>8</v>
      </c>
      <c r="B37" s="13">
        <v>6</v>
      </c>
      <c r="C37" s="13" t="s">
        <v>81</v>
      </c>
      <c r="D37" s="13" t="s">
        <v>361</v>
      </c>
      <c r="E37" s="13" t="s">
        <v>362</v>
      </c>
      <c r="F37" s="13" t="s">
        <v>363</v>
      </c>
      <c r="G37" s="13" t="s">
        <v>126</v>
      </c>
      <c r="H37" s="13" t="s">
        <v>125</v>
      </c>
      <c r="I37" s="13" t="s">
        <v>126</v>
      </c>
      <c r="J37" s="13" t="s">
        <v>198</v>
      </c>
      <c r="K37" s="13" t="s">
        <v>364</v>
      </c>
      <c r="L37" s="13" t="s">
        <v>1</v>
      </c>
      <c r="M37" s="13" t="s">
        <v>2</v>
      </c>
      <c r="N37" s="13" t="s">
        <v>11</v>
      </c>
      <c r="O37" s="13" t="s">
        <v>241</v>
      </c>
      <c r="P37" s="13" t="s">
        <v>200</v>
      </c>
      <c r="Q37" s="13" t="s">
        <v>20</v>
      </c>
      <c r="R37" s="13" t="s">
        <v>5</v>
      </c>
      <c r="S37" s="13"/>
      <c r="T37" s="13" t="s">
        <v>144</v>
      </c>
      <c r="U37" s="13" t="s">
        <v>6</v>
      </c>
      <c r="V37" s="14">
        <v>1000</v>
      </c>
      <c r="W37" s="13" t="s">
        <v>318</v>
      </c>
      <c r="X37" s="13" t="s">
        <v>15</v>
      </c>
      <c r="Y37" s="13"/>
    </row>
    <row r="38" spans="1:25" ht="45" customHeight="1" x14ac:dyDescent="0.4">
      <c r="A38" s="13" t="s">
        <v>8</v>
      </c>
      <c r="B38" s="13">
        <v>6</v>
      </c>
      <c r="C38" s="13" t="s">
        <v>81</v>
      </c>
      <c r="D38" s="13" t="s">
        <v>365</v>
      </c>
      <c r="E38" s="13" t="s">
        <v>366</v>
      </c>
      <c r="F38" s="13" t="s">
        <v>126</v>
      </c>
      <c r="G38" s="13" t="s">
        <v>126</v>
      </c>
      <c r="H38" s="13" t="s">
        <v>226</v>
      </c>
      <c r="I38" s="13" t="s">
        <v>126</v>
      </c>
      <c r="J38" s="13" t="s">
        <v>367</v>
      </c>
      <c r="K38" s="13" t="s">
        <v>228</v>
      </c>
      <c r="L38" s="13" t="s">
        <v>1</v>
      </c>
      <c r="M38" s="13" t="s">
        <v>2</v>
      </c>
      <c r="N38" s="13" t="s">
        <v>11</v>
      </c>
      <c r="O38" s="13" t="s">
        <v>303</v>
      </c>
      <c r="P38" s="13" t="s">
        <v>304</v>
      </c>
      <c r="Q38" s="13" t="s">
        <v>4</v>
      </c>
      <c r="R38" s="13" t="s">
        <v>5</v>
      </c>
      <c r="S38" s="13"/>
      <c r="T38" s="13" t="s">
        <v>144</v>
      </c>
      <c r="U38" s="13" t="s">
        <v>6</v>
      </c>
      <c r="V38" s="14">
        <v>1200</v>
      </c>
      <c r="W38" s="13" t="s">
        <v>226</v>
      </c>
      <c r="X38" s="13" t="s">
        <v>15</v>
      </c>
      <c r="Y38" s="13"/>
    </row>
    <row r="39" spans="1:25" ht="45" customHeight="1" x14ac:dyDescent="0.4">
      <c r="A39" s="15" t="s">
        <v>244</v>
      </c>
      <c r="B39" s="15">
        <v>6</v>
      </c>
      <c r="C39" s="15" t="s">
        <v>81</v>
      </c>
      <c r="D39" s="15" t="s">
        <v>368</v>
      </c>
      <c r="E39" s="15" t="s">
        <v>369</v>
      </c>
      <c r="F39" s="15" t="s">
        <v>126</v>
      </c>
      <c r="G39" s="15" t="s">
        <v>126</v>
      </c>
      <c r="H39" s="15" t="s">
        <v>226</v>
      </c>
      <c r="I39" s="15" t="s">
        <v>126</v>
      </c>
      <c r="J39" s="15" t="s">
        <v>247</v>
      </c>
      <c r="K39" s="15" t="s">
        <v>228</v>
      </c>
      <c r="L39" s="15" t="s">
        <v>1</v>
      </c>
      <c r="M39" s="15" t="s">
        <v>2</v>
      </c>
      <c r="N39" s="15" t="s">
        <v>11</v>
      </c>
      <c r="O39" s="15" t="s">
        <v>241</v>
      </c>
      <c r="P39" s="15" t="s">
        <v>200</v>
      </c>
      <c r="Q39" s="15" t="s">
        <v>30</v>
      </c>
      <c r="R39" s="15" t="s">
        <v>5</v>
      </c>
      <c r="S39" s="15"/>
      <c r="T39" s="15" t="s">
        <v>248</v>
      </c>
      <c r="U39" s="15" t="s">
        <v>6</v>
      </c>
      <c r="V39" s="16">
        <v>600</v>
      </c>
      <c r="W39" s="15" t="s">
        <v>226</v>
      </c>
      <c r="X39" s="15" t="s">
        <v>15</v>
      </c>
      <c r="Y39" s="15"/>
    </row>
    <row r="40" spans="1:25" ht="45" customHeight="1" x14ac:dyDescent="0.4">
      <c r="A40" s="13" t="s">
        <v>8</v>
      </c>
      <c r="B40" s="13">
        <v>7</v>
      </c>
      <c r="C40" s="13" t="s">
        <v>84</v>
      </c>
      <c r="D40" s="13" t="s">
        <v>370</v>
      </c>
      <c r="E40" s="13" t="s">
        <v>371</v>
      </c>
      <c r="F40" s="13" t="s">
        <v>126</v>
      </c>
      <c r="G40" s="13" t="s">
        <v>126</v>
      </c>
      <c r="H40" s="13" t="s">
        <v>226</v>
      </c>
      <c r="I40" s="13" t="s">
        <v>180</v>
      </c>
      <c r="J40" s="13" t="s">
        <v>372</v>
      </c>
      <c r="K40" s="13" t="s">
        <v>373</v>
      </c>
      <c r="L40" s="13" t="s">
        <v>1</v>
      </c>
      <c r="M40" s="13" t="s">
        <v>2</v>
      </c>
      <c r="N40" s="13" t="s">
        <v>11</v>
      </c>
      <c r="O40" s="13" t="s">
        <v>374</v>
      </c>
      <c r="P40" s="13" t="s">
        <v>348</v>
      </c>
      <c r="Q40" s="13" t="s">
        <v>27</v>
      </c>
      <c r="R40" s="13" t="s">
        <v>5</v>
      </c>
      <c r="S40" s="13"/>
      <c r="T40" s="13" t="s">
        <v>144</v>
      </c>
      <c r="U40" s="13" t="s">
        <v>6</v>
      </c>
      <c r="V40" s="14">
        <v>1500</v>
      </c>
      <c r="W40" s="13" t="s">
        <v>375</v>
      </c>
      <c r="X40" s="13" t="s">
        <v>15</v>
      </c>
      <c r="Y40" s="13" t="s">
        <v>376</v>
      </c>
    </row>
    <row r="41" spans="1:25" ht="45" customHeight="1" x14ac:dyDescent="0.4">
      <c r="A41" s="13" t="s">
        <v>8</v>
      </c>
      <c r="B41" s="13">
        <v>7</v>
      </c>
      <c r="C41" s="13" t="s">
        <v>84</v>
      </c>
      <c r="D41" s="13" t="s">
        <v>377</v>
      </c>
      <c r="E41" s="13" t="s">
        <v>378</v>
      </c>
      <c r="F41" s="13" t="s">
        <v>126</v>
      </c>
      <c r="G41" s="13" t="s">
        <v>126</v>
      </c>
      <c r="H41" s="13" t="s">
        <v>139</v>
      </c>
      <c r="I41" s="13" t="s">
        <v>126</v>
      </c>
      <c r="J41" s="13" t="s">
        <v>379</v>
      </c>
      <c r="K41" s="13" t="s">
        <v>380</v>
      </c>
      <c r="L41" s="13" t="s">
        <v>1</v>
      </c>
      <c r="M41" s="13" t="s">
        <v>2</v>
      </c>
      <c r="N41" s="13" t="s">
        <v>11</v>
      </c>
      <c r="O41" s="13" t="s">
        <v>359</v>
      </c>
      <c r="P41" s="13" t="s">
        <v>200</v>
      </c>
      <c r="Q41" s="13" t="s">
        <v>4</v>
      </c>
      <c r="R41" s="13" t="s">
        <v>5</v>
      </c>
      <c r="S41" s="13"/>
      <c r="T41" s="13" t="s">
        <v>144</v>
      </c>
      <c r="U41" s="13" t="s">
        <v>6</v>
      </c>
      <c r="V41" s="14">
        <v>1200</v>
      </c>
      <c r="W41" s="13" t="s">
        <v>145</v>
      </c>
      <c r="X41" s="13" t="s">
        <v>15</v>
      </c>
      <c r="Y41" s="13"/>
    </row>
    <row r="42" spans="1:25" ht="45" customHeight="1" x14ac:dyDescent="0.4">
      <c r="A42" s="13" t="s">
        <v>8</v>
      </c>
      <c r="B42" s="13">
        <v>7</v>
      </c>
      <c r="C42" s="13" t="s">
        <v>84</v>
      </c>
      <c r="D42" s="13" t="s">
        <v>381</v>
      </c>
      <c r="E42" s="13" t="s">
        <v>382</v>
      </c>
      <c r="F42" s="13" t="s">
        <v>126</v>
      </c>
      <c r="G42" s="13" t="s">
        <v>126</v>
      </c>
      <c r="H42" s="13" t="s">
        <v>125</v>
      </c>
      <c r="I42" s="13" t="s">
        <v>126</v>
      </c>
      <c r="J42" s="13" t="s">
        <v>275</v>
      </c>
      <c r="K42" s="13" t="s">
        <v>364</v>
      </c>
      <c r="L42" s="13" t="s">
        <v>1</v>
      </c>
      <c r="M42" s="13" t="s">
        <v>2</v>
      </c>
      <c r="N42" s="13" t="s">
        <v>11</v>
      </c>
      <c r="O42" s="13" t="s">
        <v>241</v>
      </c>
      <c r="P42" s="13" t="s">
        <v>200</v>
      </c>
      <c r="Q42" s="13" t="s">
        <v>20</v>
      </c>
      <c r="R42" s="13" t="s">
        <v>5</v>
      </c>
      <c r="S42" s="13"/>
      <c r="T42" s="13" t="s">
        <v>144</v>
      </c>
      <c r="U42" s="13" t="s">
        <v>6</v>
      </c>
      <c r="V42" s="14">
        <v>800</v>
      </c>
      <c r="W42" s="13" t="s">
        <v>318</v>
      </c>
      <c r="X42" s="13" t="s">
        <v>15</v>
      </c>
      <c r="Y42" s="13"/>
    </row>
    <row r="43" spans="1:25" ht="45" customHeight="1" x14ac:dyDescent="0.4">
      <c r="A43" s="13" t="s">
        <v>8</v>
      </c>
      <c r="B43" s="13">
        <v>8</v>
      </c>
      <c r="C43" s="13" t="s">
        <v>383</v>
      </c>
      <c r="D43" s="13" t="s">
        <v>384</v>
      </c>
      <c r="E43" s="13" t="s">
        <v>385</v>
      </c>
      <c r="F43" s="13" t="s">
        <v>126</v>
      </c>
      <c r="G43" s="13" t="s">
        <v>294</v>
      </c>
      <c r="H43" s="13" t="s">
        <v>126</v>
      </c>
      <c r="I43" s="13" t="s">
        <v>386</v>
      </c>
      <c r="J43" s="13" t="s">
        <v>387</v>
      </c>
      <c r="K43" s="13" t="s">
        <v>1</v>
      </c>
      <c r="L43" s="13" t="s">
        <v>2</v>
      </c>
      <c r="M43" s="13" t="s">
        <v>3</v>
      </c>
      <c r="N43" s="13" t="s">
        <v>388</v>
      </c>
      <c r="O43" s="13" t="s">
        <v>389</v>
      </c>
      <c r="P43" s="13" t="s">
        <v>4</v>
      </c>
      <c r="Q43" s="13" t="s">
        <v>5</v>
      </c>
      <c r="R43" s="13"/>
      <c r="S43" s="13" t="s">
        <v>390</v>
      </c>
      <c r="T43" s="13" t="s">
        <v>6</v>
      </c>
      <c r="U43" s="13">
        <v>2000</v>
      </c>
      <c r="V43" s="14" t="s">
        <v>294</v>
      </c>
      <c r="W43" s="13" t="s">
        <v>15</v>
      </c>
      <c r="X43" s="13" t="s">
        <v>391</v>
      </c>
      <c r="Y43" s="13"/>
    </row>
    <row r="44" spans="1:25" ht="45" customHeight="1" x14ac:dyDescent="0.4">
      <c r="A44" s="13" t="s">
        <v>8</v>
      </c>
      <c r="B44" s="13">
        <v>8</v>
      </c>
      <c r="C44" s="13" t="s">
        <v>383</v>
      </c>
      <c r="D44" s="13" t="s">
        <v>392</v>
      </c>
      <c r="E44" s="13" t="s">
        <v>393</v>
      </c>
      <c r="F44" s="13" t="s">
        <v>394</v>
      </c>
      <c r="G44" s="13" t="s">
        <v>126</v>
      </c>
      <c r="H44" s="13" t="s">
        <v>125</v>
      </c>
      <c r="I44" s="13" t="s">
        <v>126</v>
      </c>
      <c r="J44" s="13" t="s">
        <v>198</v>
      </c>
      <c r="K44" s="13" t="s">
        <v>395</v>
      </c>
      <c r="L44" s="13" t="s">
        <v>1</v>
      </c>
      <c r="M44" s="13" t="s">
        <v>2</v>
      </c>
      <c r="N44" s="13" t="s">
        <v>11</v>
      </c>
      <c r="O44" s="13" t="s">
        <v>241</v>
      </c>
      <c r="P44" s="13" t="s">
        <v>200</v>
      </c>
      <c r="Q44" s="13" t="s">
        <v>20</v>
      </c>
      <c r="R44" s="13" t="s">
        <v>5</v>
      </c>
      <c r="S44" s="13"/>
      <c r="T44" s="13" t="s">
        <v>144</v>
      </c>
      <c r="U44" s="13" t="s">
        <v>6</v>
      </c>
      <c r="V44" s="14">
        <v>1000</v>
      </c>
      <c r="W44" s="13" t="s">
        <v>277</v>
      </c>
      <c r="X44" s="13" t="s">
        <v>15</v>
      </c>
      <c r="Y44" s="13"/>
    </row>
    <row r="45" spans="1:25" ht="45" customHeight="1" x14ac:dyDescent="0.4">
      <c r="A45" s="13" t="s">
        <v>8</v>
      </c>
      <c r="B45" s="13">
        <v>9</v>
      </c>
      <c r="C45" s="13" t="s">
        <v>89</v>
      </c>
      <c r="D45" s="13" t="s">
        <v>396</v>
      </c>
      <c r="E45" s="13" t="s">
        <v>397</v>
      </c>
      <c r="F45" s="13" t="s">
        <v>126</v>
      </c>
      <c r="G45" s="13" t="s">
        <v>294</v>
      </c>
      <c r="H45" s="13" t="s">
        <v>126</v>
      </c>
      <c r="I45" s="13" t="s">
        <v>398</v>
      </c>
      <c r="J45" s="13" t="s">
        <v>399</v>
      </c>
      <c r="K45" s="13" t="s">
        <v>1</v>
      </c>
      <c r="L45" s="13" t="s">
        <v>2</v>
      </c>
      <c r="M45" s="13" t="s">
        <v>3</v>
      </c>
      <c r="N45" s="13" t="s">
        <v>400</v>
      </c>
      <c r="O45" s="13" t="s">
        <v>401</v>
      </c>
      <c r="P45" s="13" t="s">
        <v>4</v>
      </c>
      <c r="Q45" s="13" t="s">
        <v>5</v>
      </c>
      <c r="R45" s="13"/>
      <c r="S45" s="13" t="s">
        <v>144</v>
      </c>
      <c r="T45" s="13" t="s">
        <v>6</v>
      </c>
      <c r="U45" s="13">
        <v>2000</v>
      </c>
      <c r="V45" s="14" t="s">
        <v>294</v>
      </c>
      <c r="W45" s="13" t="s">
        <v>15</v>
      </c>
      <c r="X45" s="13" t="s">
        <v>402</v>
      </c>
      <c r="Y45" s="13"/>
    </row>
    <row r="46" spans="1:25" ht="45" customHeight="1" x14ac:dyDescent="0.4">
      <c r="A46" s="13" t="s">
        <v>8</v>
      </c>
      <c r="B46" s="13">
        <v>9</v>
      </c>
      <c r="C46" s="13" t="s">
        <v>89</v>
      </c>
      <c r="D46" s="13" t="s">
        <v>403</v>
      </c>
      <c r="E46" s="13" t="s">
        <v>404</v>
      </c>
      <c r="F46" s="13" t="s">
        <v>405</v>
      </c>
      <c r="G46" s="13" t="s">
        <v>126</v>
      </c>
      <c r="H46" s="13" t="s">
        <v>125</v>
      </c>
      <c r="I46" s="13" t="s">
        <v>126</v>
      </c>
      <c r="J46" s="13" t="s">
        <v>406</v>
      </c>
      <c r="K46" s="13" t="s">
        <v>228</v>
      </c>
      <c r="L46" s="13" t="s">
        <v>1</v>
      </c>
      <c r="M46" s="13" t="s">
        <v>2</v>
      </c>
      <c r="N46" s="13" t="s">
        <v>11</v>
      </c>
      <c r="O46" s="13" t="s">
        <v>241</v>
      </c>
      <c r="P46" s="13" t="s">
        <v>200</v>
      </c>
      <c r="Q46" s="13" t="s">
        <v>20</v>
      </c>
      <c r="R46" s="13" t="s">
        <v>5</v>
      </c>
      <c r="S46" s="13"/>
      <c r="T46" s="13" t="s">
        <v>144</v>
      </c>
      <c r="U46" s="13" t="s">
        <v>6</v>
      </c>
      <c r="V46" s="14">
        <v>1000</v>
      </c>
      <c r="W46" s="13" t="s">
        <v>318</v>
      </c>
      <c r="X46" s="13" t="s">
        <v>15</v>
      </c>
      <c r="Y46" s="13" t="s">
        <v>407</v>
      </c>
    </row>
    <row r="47" spans="1:25" ht="45" customHeight="1" x14ac:dyDescent="0.4">
      <c r="A47" s="13" t="s">
        <v>8</v>
      </c>
      <c r="B47" s="13">
        <v>10</v>
      </c>
      <c r="C47" s="13" t="s">
        <v>91</v>
      </c>
      <c r="D47" s="13" t="s">
        <v>408</v>
      </c>
      <c r="E47" s="13" t="s">
        <v>409</v>
      </c>
      <c r="F47" s="13" t="s">
        <v>410</v>
      </c>
      <c r="G47" s="13" t="s">
        <v>126</v>
      </c>
      <c r="H47" s="13" t="s">
        <v>125</v>
      </c>
      <c r="I47" s="13" t="s">
        <v>126</v>
      </c>
      <c r="J47" s="13" t="s">
        <v>411</v>
      </c>
      <c r="K47" s="13" t="s">
        <v>412</v>
      </c>
      <c r="L47" s="13" t="s">
        <v>1</v>
      </c>
      <c r="M47" s="13" t="s">
        <v>2</v>
      </c>
      <c r="N47" s="13" t="s">
        <v>11</v>
      </c>
      <c r="O47" s="13" t="s">
        <v>413</v>
      </c>
      <c r="P47" s="13" t="s">
        <v>329</v>
      </c>
      <c r="Q47" s="13" t="s">
        <v>20</v>
      </c>
      <c r="R47" s="13" t="s">
        <v>5</v>
      </c>
      <c r="S47" s="13"/>
      <c r="T47" s="13" t="s">
        <v>144</v>
      </c>
      <c r="U47" s="13" t="s">
        <v>6</v>
      </c>
      <c r="V47" s="14">
        <v>1000</v>
      </c>
      <c r="W47" s="13" t="s">
        <v>414</v>
      </c>
      <c r="X47" s="13" t="s">
        <v>15</v>
      </c>
      <c r="Y47" s="13" t="s">
        <v>413</v>
      </c>
    </row>
    <row r="48" spans="1:25" ht="45" customHeight="1" x14ac:dyDescent="0.4">
      <c r="A48" s="15" t="s">
        <v>244</v>
      </c>
      <c r="B48" s="15">
        <v>10</v>
      </c>
      <c r="C48" s="15" t="s">
        <v>91</v>
      </c>
      <c r="D48" s="15" t="s">
        <v>415</v>
      </c>
      <c r="E48" s="15" t="s">
        <v>416</v>
      </c>
      <c r="F48" s="15" t="s">
        <v>126</v>
      </c>
      <c r="G48" s="15" t="s">
        <v>126</v>
      </c>
      <c r="H48" s="15" t="s">
        <v>226</v>
      </c>
      <c r="I48" s="15" t="s">
        <v>126</v>
      </c>
      <c r="J48" s="15" t="s">
        <v>235</v>
      </c>
      <c r="K48" s="15" t="s">
        <v>228</v>
      </c>
      <c r="L48" s="15" t="s">
        <v>1</v>
      </c>
      <c r="M48" s="15" t="s">
        <v>2</v>
      </c>
      <c r="N48" s="15" t="s">
        <v>11</v>
      </c>
      <c r="O48" s="15" t="s">
        <v>241</v>
      </c>
      <c r="P48" s="15" t="s">
        <v>200</v>
      </c>
      <c r="Q48" s="15" t="s">
        <v>30</v>
      </c>
      <c r="R48" s="15" t="s">
        <v>5</v>
      </c>
      <c r="S48" s="15"/>
      <c r="T48" s="15" t="s">
        <v>248</v>
      </c>
      <c r="U48" s="15" t="s">
        <v>6</v>
      </c>
      <c r="V48" s="16">
        <v>500</v>
      </c>
      <c r="W48" s="15" t="s">
        <v>226</v>
      </c>
      <c r="X48" s="15" t="s">
        <v>15</v>
      </c>
      <c r="Y48" s="15"/>
    </row>
    <row r="49" spans="1:25" ht="45" customHeight="1" x14ac:dyDescent="0.4">
      <c r="A49" s="13" t="s">
        <v>8</v>
      </c>
      <c r="B49" s="13">
        <v>11</v>
      </c>
      <c r="C49" s="13" t="s">
        <v>417</v>
      </c>
      <c r="D49" s="13" t="s">
        <v>418</v>
      </c>
      <c r="E49" s="13" t="s">
        <v>419</v>
      </c>
      <c r="F49" s="13" t="s">
        <v>420</v>
      </c>
      <c r="G49" s="13" t="s">
        <v>126</v>
      </c>
      <c r="H49" s="13" t="s">
        <v>125</v>
      </c>
      <c r="I49" s="13" t="s">
        <v>126</v>
      </c>
      <c r="J49" s="13" t="s">
        <v>198</v>
      </c>
      <c r="K49" s="13" t="s">
        <v>199</v>
      </c>
      <c r="L49" s="13" t="s">
        <v>1</v>
      </c>
      <c r="M49" s="13" t="s">
        <v>2</v>
      </c>
      <c r="N49" s="13" t="s">
        <v>11</v>
      </c>
      <c r="O49" s="13" t="s">
        <v>241</v>
      </c>
      <c r="P49" s="13" t="s">
        <v>200</v>
      </c>
      <c r="Q49" s="13" t="s">
        <v>20</v>
      </c>
      <c r="R49" s="13" t="s">
        <v>5</v>
      </c>
      <c r="S49" s="13"/>
      <c r="T49" s="13" t="s">
        <v>144</v>
      </c>
      <c r="U49" s="13" t="s">
        <v>6</v>
      </c>
      <c r="V49" s="14">
        <v>800</v>
      </c>
      <c r="W49" s="13" t="s">
        <v>318</v>
      </c>
      <c r="X49" s="13" t="s">
        <v>15</v>
      </c>
      <c r="Y49" s="13"/>
    </row>
    <row r="50" spans="1:25" ht="45" customHeight="1" x14ac:dyDescent="0.4">
      <c r="A50" s="15" t="s">
        <v>244</v>
      </c>
      <c r="B50" s="15">
        <v>12</v>
      </c>
      <c r="C50" s="15" t="s">
        <v>421</v>
      </c>
      <c r="D50" s="15" t="s">
        <v>422</v>
      </c>
      <c r="E50" s="15" t="s">
        <v>423</v>
      </c>
      <c r="F50" s="15" t="s">
        <v>424</v>
      </c>
      <c r="G50" s="15" t="s">
        <v>126</v>
      </c>
      <c r="H50" s="15" t="s">
        <v>125</v>
      </c>
      <c r="I50" s="15" t="s">
        <v>126</v>
      </c>
      <c r="J50" s="15" t="s">
        <v>198</v>
      </c>
      <c r="K50" s="15" t="s">
        <v>317</v>
      </c>
      <c r="L50" s="15" t="s">
        <v>1</v>
      </c>
      <c r="M50" s="15" t="s">
        <v>2</v>
      </c>
      <c r="N50" s="15" t="s">
        <v>19</v>
      </c>
      <c r="O50" s="15" t="s">
        <v>425</v>
      </c>
      <c r="P50" s="15" t="s">
        <v>200</v>
      </c>
      <c r="Q50" s="15" t="s">
        <v>30</v>
      </c>
      <c r="R50" s="15" t="s">
        <v>5</v>
      </c>
      <c r="S50" s="15"/>
      <c r="T50" s="15" t="s">
        <v>248</v>
      </c>
      <c r="U50" s="15" t="s">
        <v>6</v>
      </c>
      <c r="V50" s="16">
        <v>500</v>
      </c>
      <c r="W50" s="15" t="s">
        <v>318</v>
      </c>
      <c r="X50" s="15" t="s">
        <v>15</v>
      </c>
      <c r="Y50" s="15" t="s">
        <v>426</v>
      </c>
    </row>
    <row r="51" spans="1:25" ht="45" customHeight="1" x14ac:dyDescent="0.4">
      <c r="A51" s="15" t="s">
        <v>244</v>
      </c>
      <c r="B51" s="15">
        <v>12</v>
      </c>
      <c r="C51" s="15" t="s">
        <v>427</v>
      </c>
      <c r="D51" s="15" t="s">
        <v>428</v>
      </c>
      <c r="E51" s="15" t="s">
        <v>429</v>
      </c>
      <c r="F51" s="15" t="s">
        <v>126</v>
      </c>
      <c r="G51" s="15" t="s">
        <v>125</v>
      </c>
      <c r="H51" s="15" t="s">
        <v>126</v>
      </c>
      <c r="I51" s="15" t="s">
        <v>275</v>
      </c>
      <c r="J51" s="15" t="s">
        <v>317</v>
      </c>
      <c r="K51" s="15" t="s">
        <v>1</v>
      </c>
      <c r="L51" s="15" t="s">
        <v>2</v>
      </c>
      <c r="M51" s="15" t="s">
        <v>19</v>
      </c>
      <c r="N51" s="15" t="s">
        <v>430</v>
      </c>
      <c r="O51" s="15" t="s">
        <v>355</v>
      </c>
      <c r="P51" s="15" t="s">
        <v>30</v>
      </c>
      <c r="Q51" s="15" t="s">
        <v>5</v>
      </c>
      <c r="R51" s="15"/>
      <c r="S51" s="15" t="s">
        <v>248</v>
      </c>
      <c r="T51" s="15" t="s">
        <v>6</v>
      </c>
      <c r="U51" s="15">
        <v>400</v>
      </c>
      <c r="V51" s="16" t="s">
        <v>318</v>
      </c>
      <c r="W51" s="15" t="s">
        <v>23</v>
      </c>
      <c r="X51" s="15" t="s">
        <v>431</v>
      </c>
      <c r="Y51" s="15"/>
    </row>
  </sheetData>
  <autoFilter ref="A1:Y51" xr:uid="{00000000-0009-0000-0000-000002000000}"/>
  <conditionalFormatting sqref="L2:L51">
    <cfRule type="cellIs" dxfId="4" priority="2" operator="equal">
      <formula>"Keine Website gefunden"</formula>
    </cfRule>
  </conditionalFormatting>
  <conditionalFormatting sqref="M2:M51">
    <cfRule type="cellIs" dxfId="3" priority="3" operator="equal">
      <formula>"Kein Online-Booking gefunden"</formula>
    </cfRule>
  </conditionalFormatting>
  <conditionalFormatting sqref="N2:N51">
    <cfRule type="cellIs" dxfId="2" priority="4" operator="equal">
      <formula>"Hoch"</formula>
    </cfRule>
  </conditionalFormatting>
  <conditionalFormatting sqref="U2:U51">
    <cfRule type="cellIs" dxfId="1" priority="5" operator="equal">
      <formula>"Gewonnen"</formula>
    </cfRule>
    <cfRule type="cellIs" dxfId="0" priority="6" operator="equal">
      <formula>"Verloren"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200-000000000000}">
          <x14:formula1>
            <xm:f>Dropdown_Helper!$A$1:$A$4</xm:f>
          </x14:formula1>
          <x14:formula2>
            <xm:f>0</xm:f>
          </x14:formula2>
          <xm:sqref>A2:A51</xm:sqref>
        </x14:dataValidation>
        <x14:dataValidation type="list" allowBlank="1" xr:uid="{00000000-0002-0000-0200-000001000000}">
          <x14:formula1>
            <xm:f>Dropdown_Helper!$B$1:$B$4</xm:f>
          </x14:formula1>
          <x14:formula2>
            <xm:f>0</xm:f>
          </x14:formula2>
          <xm:sqref>L2:L51</xm:sqref>
        </x14:dataValidation>
        <x14:dataValidation type="list" allowBlank="1" xr:uid="{00000000-0002-0000-0200-000002000000}">
          <x14:formula1>
            <xm:f>Dropdown_Helper!$C$1:$C$4</xm:f>
          </x14:formula1>
          <x14:formula2>
            <xm:f>0</xm:f>
          </x14:formula2>
          <xm:sqref>M2:M51</xm:sqref>
        </x14:dataValidation>
        <x14:dataValidation type="list" allowBlank="1" xr:uid="{00000000-0002-0000-0200-000003000000}">
          <x14:formula1>
            <xm:f>Dropdown_Helper!$D$1:$D$3</xm:f>
          </x14:formula1>
          <x14:formula2>
            <xm:f>0</xm:f>
          </x14:formula2>
          <xm:sqref>N2:N51</xm:sqref>
        </x14:dataValidation>
        <x14:dataValidation type="list" allowBlank="1" xr:uid="{00000000-0002-0000-0200-000004000000}">
          <x14:formula1>
            <xm:f>Dropdown_Helper!$E$1:$E$5</xm:f>
          </x14:formula1>
          <x14:formula2>
            <xm:f>0</xm:f>
          </x14:formula2>
          <xm:sqref>Q2:Q51</xm:sqref>
        </x14:dataValidation>
        <x14:dataValidation type="list" allowBlank="1" xr:uid="{00000000-0002-0000-0200-000005000000}">
          <x14:formula1>
            <xm:f>Dropdown_Helper!$F$1:$F$9</xm:f>
          </x14:formula1>
          <x14:formula2>
            <xm:f>0</xm:f>
          </x14:formula2>
          <xm:sqref>R2:R51</xm:sqref>
        </x14:dataValidation>
        <x14:dataValidation type="list" allowBlank="1" xr:uid="{00000000-0002-0000-0200-000006000000}">
          <x14:formula1>
            <xm:f>Dropdown_Helper!$G$1:$G$4</xm:f>
          </x14:formula1>
          <x14:formula2>
            <xm:f>0</xm:f>
          </x14:formula2>
          <xm:sqref>U2:U51</xm:sqref>
        </x14:dataValidation>
        <x14:dataValidation type="list" allowBlank="1" xr:uid="{00000000-0002-0000-0200-000007000000}">
          <x14:formula1>
            <xm:f>Dropdown_Helper!$H$1:$H$3</xm:f>
          </x14:formula1>
          <x14:formula2>
            <xm:f>0</xm:f>
          </x14:formula2>
          <xm:sqref>X2:X51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9"/>
  <sheetViews>
    <sheetView showGridLines="0" tabSelected="1" zoomScaleNormal="100" workbookViewId="0"/>
  </sheetViews>
  <sheetFormatPr baseColWidth="10" defaultColWidth="8.61328125" defaultRowHeight="14.6" x14ac:dyDescent="0.4"/>
  <cols>
    <col min="1" max="1" width="2" customWidth="1"/>
    <col min="2" max="2" width="12" customWidth="1"/>
    <col min="3" max="3" width="16" customWidth="1"/>
    <col min="4" max="4" width="14" customWidth="1"/>
    <col min="5" max="8" width="12" customWidth="1"/>
  </cols>
  <sheetData>
    <row r="2" spans="2:8" ht="34.5" customHeight="1" x14ac:dyDescent="0.4">
      <c r="B2" s="90" t="s">
        <v>432</v>
      </c>
      <c r="C2" s="90"/>
      <c r="D2" s="90"/>
      <c r="E2" s="90"/>
      <c r="F2" s="90"/>
      <c r="G2" s="90"/>
      <c r="H2" s="90"/>
    </row>
    <row r="3" spans="2:8" x14ac:dyDescent="0.4">
      <c r="B3" s="99" t="s">
        <v>433</v>
      </c>
      <c r="C3" s="99"/>
      <c r="D3" s="99"/>
      <c r="E3" s="99"/>
      <c r="F3" s="99"/>
      <c r="G3" s="99"/>
      <c r="H3" s="99"/>
    </row>
    <row r="5" spans="2:8" ht="27.75" customHeight="1" x14ac:dyDescent="0.4">
      <c r="B5" s="104" t="s">
        <v>434</v>
      </c>
      <c r="C5" s="104"/>
      <c r="D5" s="104"/>
      <c r="E5" s="104"/>
      <c r="F5" s="104"/>
      <c r="G5" s="104"/>
      <c r="H5" s="104"/>
    </row>
    <row r="6" spans="2:8" x14ac:dyDescent="0.4">
      <c r="B6" s="17" t="s">
        <v>435</v>
      </c>
      <c r="C6" s="102" t="s">
        <v>436</v>
      </c>
      <c r="D6" s="102"/>
      <c r="E6" s="102"/>
      <c r="F6" s="102"/>
      <c r="G6" s="102"/>
      <c r="H6" s="102"/>
    </row>
    <row r="7" spans="2:8" x14ac:dyDescent="0.4">
      <c r="B7" s="17" t="s">
        <v>437</v>
      </c>
      <c r="C7" s="1">
        <v>8</v>
      </c>
    </row>
    <row r="8" spans="2:8" ht="69.75" customHeight="1" x14ac:dyDescent="0.4">
      <c r="B8" s="17" t="s">
        <v>438</v>
      </c>
      <c r="C8" s="105" t="s">
        <v>439</v>
      </c>
      <c r="D8" s="105"/>
      <c r="E8" s="105"/>
      <c r="F8" s="105"/>
      <c r="G8" s="105"/>
      <c r="H8" s="105"/>
    </row>
    <row r="9" spans="2:8" x14ac:dyDescent="0.4">
      <c r="B9" s="17" t="s">
        <v>440</v>
      </c>
      <c r="C9" s="102" t="s">
        <v>441</v>
      </c>
      <c r="D9" s="102"/>
      <c r="E9" s="102"/>
      <c r="F9" s="102"/>
      <c r="G9" s="102"/>
      <c r="H9" s="102"/>
    </row>
    <row r="10" spans="2:8" x14ac:dyDescent="0.4">
      <c r="B10" s="17" t="s">
        <v>442</v>
      </c>
      <c r="C10" s="103" t="s">
        <v>443</v>
      </c>
      <c r="D10" s="103"/>
      <c r="E10" s="103"/>
      <c r="F10" s="103"/>
      <c r="G10" s="103"/>
      <c r="H10" s="103"/>
    </row>
    <row r="12" spans="2:8" ht="27.75" customHeight="1" x14ac:dyDescent="0.4">
      <c r="B12" s="104" t="s">
        <v>444</v>
      </c>
      <c r="C12" s="104"/>
      <c r="D12" s="104"/>
      <c r="E12" s="104"/>
      <c r="F12" s="104"/>
      <c r="G12" s="104"/>
      <c r="H12" s="104"/>
    </row>
    <row r="13" spans="2:8" x14ac:dyDescent="0.4">
      <c r="B13" s="17" t="s">
        <v>435</v>
      </c>
      <c r="C13" s="102" t="s">
        <v>445</v>
      </c>
      <c r="D13" s="102"/>
      <c r="E13" s="102"/>
      <c r="F13" s="102"/>
      <c r="G13" s="102"/>
      <c r="H13" s="102"/>
    </row>
    <row r="14" spans="2:8" x14ac:dyDescent="0.4">
      <c r="B14" s="17" t="s">
        <v>437</v>
      </c>
      <c r="C14" s="1">
        <v>15</v>
      </c>
    </row>
    <row r="15" spans="2:8" ht="69.75" customHeight="1" x14ac:dyDescent="0.4">
      <c r="B15" s="17" t="s">
        <v>438</v>
      </c>
      <c r="C15" s="105" t="s">
        <v>446</v>
      </c>
      <c r="D15" s="105"/>
      <c r="E15" s="105"/>
      <c r="F15" s="105"/>
      <c r="G15" s="105"/>
      <c r="H15" s="105"/>
    </row>
    <row r="16" spans="2:8" x14ac:dyDescent="0.4">
      <c r="B16" s="17" t="s">
        <v>440</v>
      </c>
      <c r="C16" s="102" t="s">
        <v>447</v>
      </c>
      <c r="D16" s="102"/>
      <c r="E16" s="102"/>
      <c r="F16" s="102"/>
      <c r="G16" s="102"/>
      <c r="H16" s="102"/>
    </row>
    <row r="17" spans="2:8" x14ac:dyDescent="0.4">
      <c r="B17" s="17" t="s">
        <v>442</v>
      </c>
      <c r="C17" s="103" t="s">
        <v>448</v>
      </c>
      <c r="D17" s="103"/>
      <c r="E17" s="103"/>
      <c r="F17" s="103"/>
      <c r="G17" s="103"/>
      <c r="H17" s="103"/>
    </row>
    <row r="19" spans="2:8" ht="27.75" customHeight="1" x14ac:dyDescent="0.4">
      <c r="B19" s="104" t="s">
        <v>449</v>
      </c>
      <c r="C19" s="104"/>
      <c r="D19" s="104"/>
      <c r="E19" s="104"/>
      <c r="F19" s="104"/>
      <c r="G19" s="104"/>
      <c r="H19" s="104"/>
    </row>
    <row r="20" spans="2:8" x14ac:dyDescent="0.4">
      <c r="B20" s="17" t="s">
        <v>435</v>
      </c>
      <c r="C20" s="102" t="s">
        <v>450</v>
      </c>
      <c r="D20" s="102"/>
      <c r="E20" s="102"/>
      <c r="F20" s="102"/>
      <c r="G20" s="102"/>
      <c r="H20" s="102"/>
    </row>
    <row r="21" spans="2:8" x14ac:dyDescent="0.4">
      <c r="B21" s="17" t="s">
        <v>437</v>
      </c>
      <c r="C21" s="1">
        <v>5</v>
      </c>
    </row>
    <row r="22" spans="2:8" ht="69.75" customHeight="1" x14ac:dyDescent="0.4">
      <c r="B22" s="17" t="s">
        <v>438</v>
      </c>
      <c r="C22" s="105" t="s">
        <v>451</v>
      </c>
      <c r="D22" s="105"/>
      <c r="E22" s="105"/>
      <c r="F22" s="105"/>
      <c r="G22" s="105"/>
      <c r="H22" s="105"/>
    </row>
    <row r="23" spans="2:8" x14ac:dyDescent="0.4">
      <c r="B23" s="17" t="s">
        <v>440</v>
      </c>
      <c r="C23" s="102" t="s">
        <v>452</v>
      </c>
      <c r="D23" s="102"/>
      <c r="E23" s="102"/>
      <c r="F23" s="102"/>
      <c r="G23" s="102"/>
      <c r="H23" s="102"/>
    </row>
    <row r="24" spans="2:8" x14ac:dyDescent="0.4">
      <c r="B24" s="17" t="s">
        <v>442</v>
      </c>
      <c r="C24" s="103" t="s">
        <v>453</v>
      </c>
      <c r="D24" s="103"/>
      <c r="E24" s="103"/>
      <c r="F24" s="103"/>
      <c r="G24" s="103"/>
      <c r="H24" s="103"/>
    </row>
    <row r="26" spans="2:8" ht="27.75" customHeight="1" x14ac:dyDescent="0.4">
      <c r="B26" s="104" t="s">
        <v>454</v>
      </c>
      <c r="C26" s="104"/>
      <c r="D26" s="104"/>
      <c r="E26" s="104"/>
      <c r="F26" s="104"/>
      <c r="G26" s="104"/>
      <c r="H26" s="104"/>
    </row>
    <row r="27" spans="2:8" x14ac:dyDescent="0.4">
      <c r="B27" s="17" t="s">
        <v>435</v>
      </c>
      <c r="C27" s="102" t="s">
        <v>455</v>
      </c>
      <c r="D27" s="102"/>
      <c r="E27" s="102"/>
      <c r="F27" s="102"/>
      <c r="G27" s="102"/>
      <c r="H27" s="102"/>
    </row>
    <row r="28" spans="2:8" x14ac:dyDescent="0.4">
      <c r="B28" s="17" t="s">
        <v>437</v>
      </c>
      <c r="C28" s="1">
        <v>4</v>
      </c>
    </row>
    <row r="29" spans="2:8" ht="69.75" customHeight="1" x14ac:dyDescent="0.4">
      <c r="B29" s="17" t="s">
        <v>438</v>
      </c>
      <c r="C29" s="105" t="s">
        <v>456</v>
      </c>
      <c r="D29" s="105"/>
      <c r="E29" s="105"/>
      <c r="F29" s="105"/>
      <c r="G29" s="105"/>
      <c r="H29" s="105"/>
    </row>
    <row r="30" spans="2:8" x14ac:dyDescent="0.4">
      <c r="B30" s="17" t="s">
        <v>440</v>
      </c>
      <c r="C30" s="102" t="s">
        <v>457</v>
      </c>
      <c r="D30" s="102"/>
      <c r="E30" s="102"/>
      <c r="F30" s="102"/>
      <c r="G30" s="102"/>
      <c r="H30" s="102"/>
    </row>
    <row r="31" spans="2:8" x14ac:dyDescent="0.4">
      <c r="B31" s="17" t="s">
        <v>442</v>
      </c>
      <c r="C31" s="103" t="s">
        <v>458</v>
      </c>
      <c r="D31" s="103"/>
      <c r="E31" s="103"/>
      <c r="F31" s="103"/>
      <c r="G31" s="103"/>
      <c r="H31" s="103"/>
    </row>
    <row r="33" spans="2:8" ht="27.75" customHeight="1" x14ac:dyDescent="0.4">
      <c r="B33" s="104" t="s">
        <v>459</v>
      </c>
      <c r="C33" s="104"/>
      <c r="D33" s="104"/>
      <c r="E33" s="104"/>
      <c r="F33" s="104"/>
      <c r="G33" s="104"/>
      <c r="H33" s="104"/>
    </row>
    <row r="34" spans="2:8" x14ac:dyDescent="0.4">
      <c r="B34" s="17" t="s">
        <v>435</v>
      </c>
      <c r="C34" s="102" t="s">
        <v>460</v>
      </c>
      <c r="D34" s="102"/>
      <c r="E34" s="102"/>
      <c r="F34" s="102"/>
      <c r="G34" s="102"/>
      <c r="H34" s="102"/>
    </row>
    <row r="35" spans="2:8" x14ac:dyDescent="0.4">
      <c r="B35" s="17" t="s">
        <v>437</v>
      </c>
      <c r="C35" s="1">
        <v>3</v>
      </c>
    </row>
    <row r="36" spans="2:8" ht="69.75" customHeight="1" x14ac:dyDescent="0.4">
      <c r="B36" s="17" t="s">
        <v>438</v>
      </c>
      <c r="C36" s="105" t="s">
        <v>461</v>
      </c>
      <c r="D36" s="105"/>
      <c r="E36" s="105"/>
      <c r="F36" s="105"/>
      <c r="G36" s="105"/>
      <c r="H36" s="105"/>
    </row>
    <row r="37" spans="2:8" x14ac:dyDescent="0.4">
      <c r="B37" s="17" t="s">
        <v>440</v>
      </c>
      <c r="C37" s="102" t="s">
        <v>462</v>
      </c>
      <c r="D37" s="102"/>
      <c r="E37" s="102"/>
      <c r="F37" s="102"/>
      <c r="G37" s="102"/>
      <c r="H37" s="102"/>
    </row>
    <row r="38" spans="2:8" x14ac:dyDescent="0.4">
      <c r="B38" s="17" t="s">
        <v>442</v>
      </c>
      <c r="C38" s="103" t="s">
        <v>463</v>
      </c>
      <c r="D38" s="103"/>
      <c r="E38" s="103"/>
      <c r="F38" s="103"/>
      <c r="G38" s="103"/>
      <c r="H38" s="103"/>
    </row>
    <row r="40" spans="2:8" ht="27.75" customHeight="1" x14ac:dyDescent="0.4">
      <c r="B40" s="104" t="s">
        <v>464</v>
      </c>
      <c r="C40" s="104"/>
      <c r="D40" s="104"/>
      <c r="E40" s="104"/>
      <c r="F40" s="104"/>
      <c r="G40" s="104"/>
      <c r="H40" s="104"/>
    </row>
    <row r="41" spans="2:8" x14ac:dyDescent="0.4">
      <c r="B41" s="17" t="s">
        <v>435</v>
      </c>
      <c r="C41" s="102" t="s">
        <v>465</v>
      </c>
      <c r="D41" s="102"/>
      <c r="E41" s="102"/>
      <c r="F41" s="102"/>
      <c r="G41" s="102"/>
      <c r="H41" s="102"/>
    </row>
    <row r="42" spans="2:8" x14ac:dyDescent="0.4">
      <c r="B42" s="17" t="s">
        <v>437</v>
      </c>
      <c r="C42" s="1">
        <v>3</v>
      </c>
    </row>
    <row r="43" spans="2:8" ht="69.75" customHeight="1" x14ac:dyDescent="0.4">
      <c r="B43" s="17" t="s">
        <v>438</v>
      </c>
      <c r="C43" s="105" t="s">
        <v>466</v>
      </c>
      <c r="D43" s="105"/>
      <c r="E43" s="105"/>
      <c r="F43" s="105"/>
      <c r="G43" s="105"/>
      <c r="H43" s="105"/>
    </row>
    <row r="44" spans="2:8" x14ac:dyDescent="0.4">
      <c r="B44" s="17" t="s">
        <v>440</v>
      </c>
      <c r="C44" s="102" t="s">
        <v>467</v>
      </c>
      <c r="D44" s="102"/>
      <c r="E44" s="102"/>
      <c r="F44" s="102"/>
      <c r="G44" s="102"/>
      <c r="H44" s="102"/>
    </row>
    <row r="45" spans="2:8" x14ac:dyDescent="0.4">
      <c r="B45" s="17" t="s">
        <v>442</v>
      </c>
      <c r="C45" s="103" t="s">
        <v>468</v>
      </c>
      <c r="D45" s="103"/>
      <c r="E45" s="103"/>
      <c r="F45" s="103"/>
      <c r="G45" s="103"/>
      <c r="H45" s="103"/>
    </row>
    <row r="47" spans="2:8" ht="27.75" customHeight="1" x14ac:dyDescent="0.4">
      <c r="B47" s="104" t="s">
        <v>469</v>
      </c>
      <c r="C47" s="104"/>
      <c r="D47" s="104"/>
      <c r="E47" s="104"/>
      <c r="F47" s="104"/>
      <c r="G47" s="104"/>
      <c r="H47" s="104"/>
    </row>
    <row r="48" spans="2:8" x14ac:dyDescent="0.4">
      <c r="B48" s="17" t="s">
        <v>435</v>
      </c>
      <c r="C48" s="102" t="s">
        <v>470</v>
      </c>
      <c r="D48" s="102"/>
      <c r="E48" s="102"/>
      <c r="F48" s="102"/>
      <c r="G48" s="102"/>
      <c r="H48" s="102"/>
    </row>
    <row r="49" spans="2:8" x14ac:dyDescent="0.4">
      <c r="B49" s="17" t="s">
        <v>437</v>
      </c>
      <c r="C49" s="1">
        <v>5</v>
      </c>
    </row>
    <row r="50" spans="2:8" ht="69.75" customHeight="1" x14ac:dyDescent="0.4">
      <c r="B50" s="17" t="s">
        <v>438</v>
      </c>
      <c r="C50" s="105" t="s">
        <v>471</v>
      </c>
      <c r="D50" s="105"/>
      <c r="E50" s="105"/>
      <c r="F50" s="105"/>
      <c r="G50" s="105"/>
      <c r="H50" s="105"/>
    </row>
    <row r="51" spans="2:8" x14ac:dyDescent="0.4">
      <c r="B51" s="17" t="s">
        <v>440</v>
      </c>
      <c r="C51" s="102" t="s">
        <v>472</v>
      </c>
      <c r="D51" s="102"/>
      <c r="E51" s="102"/>
      <c r="F51" s="102"/>
      <c r="G51" s="102"/>
      <c r="H51" s="102"/>
    </row>
    <row r="52" spans="2:8" x14ac:dyDescent="0.4">
      <c r="B52" s="17" t="s">
        <v>442</v>
      </c>
      <c r="C52" s="103" t="s">
        <v>473</v>
      </c>
      <c r="D52" s="103"/>
      <c r="E52" s="103"/>
      <c r="F52" s="103"/>
      <c r="G52" s="103"/>
      <c r="H52" s="103"/>
    </row>
    <row r="54" spans="2:8" ht="27.75" customHeight="1" x14ac:dyDescent="0.4">
      <c r="B54" s="104" t="s">
        <v>474</v>
      </c>
      <c r="C54" s="104"/>
      <c r="D54" s="104"/>
      <c r="E54" s="104"/>
      <c r="F54" s="104"/>
      <c r="G54" s="104"/>
      <c r="H54" s="104"/>
    </row>
    <row r="55" spans="2:8" x14ac:dyDescent="0.4">
      <c r="B55" s="17" t="s">
        <v>435</v>
      </c>
      <c r="C55" s="102" t="s">
        <v>475</v>
      </c>
      <c r="D55" s="102"/>
      <c r="E55" s="102"/>
      <c r="F55" s="102"/>
      <c r="G55" s="102"/>
      <c r="H55" s="102"/>
    </row>
    <row r="56" spans="2:8" x14ac:dyDescent="0.4">
      <c r="B56" s="17" t="s">
        <v>437</v>
      </c>
      <c r="C56" s="1">
        <v>4</v>
      </c>
    </row>
    <row r="57" spans="2:8" ht="69.75" customHeight="1" x14ac:dyDescent="0.4">
      <c r="B57" s="17" t="s">
        <v>438</v>
      </c>
      <c r="C57" s="105" t="s">
        <v>476</v>
      </c>
      <c r="D57" s="105"/>
      <c r="E57" s="105"/>
      <c r="F57" s="105"/>
      <c r="G57" s="105"/>
      <c r="H57" s="105"/>
    </row>
    <row r="58" spans="2:8" x14ac:dyDescent="0.4">
      <c r="B58" s="17" t="s">
        <v>440</v>
      </c>
      <c r="C58" s="102" t="s">
        <v>477</v>
      </c>
      <c r="D58" s="102"/>
      <c r="E58" s="102"/>
      <c r="F58" s="102"/>
      <c r="G58" s="102"/>
      <c r="H58" s="102"/>
    </row>
    <row r="59" spans="2:8" x14ac:dyDescent="0.4">
      <c r="B59" s="17" t="s">
        <v>442</v>
      </c>
      <c r="C59" s="103" t="s">
        <v>478</v>
      </c>
      <c r="D59" s="103"/>
      <c r="E59" s="103"/>
      <c r="F59" s="103"/>
      <c r="G59" s="103"/>
      <c r="H59" s="103"/>
    </row>
  </sheetData>
  <mergeCells count="42">
    <mergeCell ref="B2:H2"/>
    <mergeCell ref="B3:H3"/>
    <mergeCell ref="B5:H5"/>
    <mergeCell ref="C6:H6"/>
    <mergeCell ref="C8:H8"/>
    <mergeCell ref="C9:H9"/>
    <mergeCell ref="C10:H10"/>
    <mergeCell ref="B12:H12"/>
    <mergeCell ref="C13:H13"/>
    <mergeCell ref="C15:H15"/>
    <mergeCell ref="C16:H16"/>
    <mergeCell ref="C17:H17"/>
    <mergeCell ref="B19:H19"/>
    <mergeCell ref="C20:H20"/>
    <mergeCell ref="C22:H22"/>
    <mergeCell ref="C23:H23"/>
    <mergeCell ref="C24:H24"/>
    <mergeCell ref="B26:H26"/>
    <mergeCell ref="C27:H27"/>
    <mergeCell ref="C29:H29"/>
    <mergeCell ref="C30:H30"/>
    <mergeCell ref="C31:H31"/>
    <mergeCell ref="B33:H33"/>
    <mergeCell ref="C34:H34"/>
    <mergeCell ref="C36:H36"/>
    <mergeCell ref="C37:H37"/>
    <mergeCell ref="C38:H38"/>
    <mergeCell ref="B40:H40"/>
    <mergeCell ref="C41:H41"/>
    <mergeCell ref="C43:H43"/>
    <mergeCell ref="C44:H44"/>
    <mergeCell ref="C45:H45"/>
    <mergeCell ref="B47:H47"/>
    <mergeCell ref="C48:H48"/>
    <mergeCell ref="C50:H50"/>
    <mergeCell ref="C58:H58"/>
    <mergeCell ref="C59:H59"/>
    <mergeCell ref="C51:H51"/>
    <mergeCell ref="C52:H52"/>
    <mergeCell ref="B54:H54"/>
    <mergeCell ref="C55:H55"/>
    <mergeCell ref="C57:H5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41"/>
  <sheetViews>
    <sheetView showGridLines="0" zoomScaleNormal="100" workbookViewId="0"/>
  </sheetViews>
  <sheetFormatPr baseColWidth="10" defaultColWidth="8.61328125" defaultRowHeight="14.6" x14ac:dyDescent="0.4"/>
  <cols>
    <col min="1" max="1" width="2" customWidth="1"/>
    <col min="2" max="2" width="32" customWidth="1"/>
    <col min="3" max="3" width="18" customWidth="1"/>
    <col min="4" max="6" width="12" customWidth="1"/>
    <col min="7" max="10" width="14" customWidth="1"/>
    <col min="11" max="11" width="12" customWidth="1"/>
  </cols>
  <sheetData>
    <row r="2" spans="2:11" ht="34.5" customHeight="1" x14ac:dyDescent="0.4">
      <c r="B2" s="90" t="s">
        <v>479</v>
      </c>
      <c r="C2" s="90"/>
      <c r="D2" s="90"/>
      <c r="E2" s="90"/>
      <c r="F2" s="90"/>
      <c r="G2" s="90"/>
      <c r="H2" s="90"/>
      <c r="I2" s="90"/>
      <c r="J2" s="90"/>
      <c r="K2" s="90"/>
    </row>
    <row r="3" spans="2:11" x14ac:dyDescent="0.4">
      <c r="B3" s="99" t="s">
        <v>480</v>
      </c>
      <c r="C3" s="99"/>
      <c r="D3" s="99"/>
      <c r="E3" s="99"/>
      <c r="F3" s="99"/>
      <c r="G3" s="99"/>
      <c r="H3" s="99"/>
      <c r="I3" s="99"/>
      <c r="J3" s="99"/>
      <c r="K3" s="99"/>
    </row>
    <row r="4" spans="2:11" x14ac:dyDescent="0.4">
      <c r="B4" s="17" t="s">
        <v>481</v>
      </c>
      <c r="C4" s="18">
        <v>0.93</v>
      </c>
    </row>
    <row r="6" spans="2:11" ht="24.75" customHeight="1" x14ac:dyDescent="0.4">
      <c r="B6" s="91" t="s">
        <v>482</v>
      </c>
      <c r="C6" s="91"/>
      <c r="D6" s="91"/>
      <c r="E6" s="91"/>
      <c r="F6" s="91"/>
      <c r="G6" s="91"/>
      <c r="H6" s="91"/>
      <c r="I6" s="91"/>
      <c r="J6" s="91"/>
      <c r="K6" s="91"/>
    </row>
    <row r="7" spans="2:11" ht="27.75" customHeight="1" x14ac:dyDescent="0.4">
      <c r="B7" s="5" t="s">
        <v>483</v>
      </c>
      <c r="C7" s="5" t="s">
        <v>484</v>
      </c>
      <c r="D7" s="5" t="s">
        <v>485</v>
      </c>
      <c r="E7" s="5" t="s">
        <v>486</v>
      </c>
      <c r="F7" s="5" t="s">
        <v>487</v>
      </c>
      <c r="G7" s="5" t="s">
        <v>488</v>
      </c>
      <c r="H7" s="5" t="s">
        <v>489</v>
      </c>
      <c r="I7" s="5" t="s">
        <v>490</v>
      </c>
      <c r="J7" s="5" t="s">
        <v>491</v>
      </c>
      <c r="K7" s="5" t="s">
        <v>492</v>
      </c>
    </row>
    <row r="8" spans="2:11" x14ac:dyDescent="0.4">
      <c r="B8" s="19" t="s">
        <v>493</v>
      </c>
      <c r="C8" s="20" t="s">
        <v>494</v>
      </c>
      <c r="D8" s="21">
        <v>5</v>
      </c>
      <c r="E8" s="22">
        <v>25</v>
      </c>
      <c r="F8" s="23">
        <v>0.5</v>
      </c>
      <c r="G8" s="24">
        <f t="shared" ref="G8:H13" si="0">D8*$C$4</f>
        <v>4.6500000000000004</v>
      </c>
      <c r="H8" s="24">
        <f t="shared" si="0"/>
        <v>23.25</v>
      </c>
      <c r="I8" s="20" t="s">
        <v>495</v>
      </c>
      <c r="J8" s="20" t="s">
        <v>496</v>
      </c>
      <c r="K8" s="11" t="s">
        <v>497</v>
      </c>
    </row>
    <row r="9" spans="2:11" x14ac:dyDescent="0.4">
      <c r="B9" s="25" t="s">
        <v>498</v>
      </c>
      <c r="C9" s="26" t="s">
        <v>499</v>
      </c>
      <c r="D9" s="27">
        <v>30</v>
      </c>
      <c r="E9" s="28">
        <v>180</v>
      </c>
      <c r="F9" s="29">
        <v>0.5</v>
      </c>
      <c r="G9" s="30">
        <f t="shared" si="0"/>
        <v>27.900000000000002</v>
      </c>
      <c r="H9" s="30">
        <f t="shared" si="0"/>
        <v>167.4</v>
      </c>
      <c r="I9" s="26" t="s">
        <v>495</v>
      </c>
      <c r="J9" s="26" t="s">
        <v>500</v>
      </c>
      <c r="K9" s="31" t="s">
        <v>501</v>
      </c>
    </row>
    <row r="10" spans="2:11" x14ac:dyDescent="0.4">
      <c r="B10" s="32" t="s">
        <v>502</v>
      </c>
      <c r="C10" s="33" t="s">
        <v>499</v>
      </c>
      <c r="D10" s="34">
        <v>5</v>
      </c>
      <c r="E10" s="35">
        <v>30</v>
      </c>
      <c r="F10" s="36">
        <v>0.5</v>
      </c>
      <c r="G10" s="37">
        <f t="shared" si="0"/>
        <v>4.6500000000000004</v>
      </c>
      <c r="H10" s="37">
        <f t="shared" si="0"/>
        <v>27.900000000000002</v>
      </c>
      <c r="I10" s="33" t="s">
        <v>503</v>
      </c>
      <c r="J10" s="33" t="s">
        <v>496</v>
      </c>
      <c r="K10" s="38" t="s">
        <v>504</v>
      </c>
    </row>
    <row r="11" spans="2:11" x14ac:dyDescent="0.4">
      <c r="B11" s="3" t="s">
        <v>505</v>
      </c>
      <c r="C11" s="39" t="s">
        <v>494</v>
      </c>
      <c r="D11" s="40">
        <v>3</v>
      </c>
      <c r="E11" s="41">
        <v>15</v>
      </c>
      <c r="F11" s="42">
        <v>0.3</v>
      </c>
      <c r="G11" s="43">
        <f t="shared" si="0"/>
        <v>2.79</v>
      </c>
      <c r="H11" s="43">
        <f t="shared" si="0"/>
        <v>13.950000000000001</v>
      </c>
      <c r="I11" s="39" t="s">
        <v>495</v>
      </c>
      <c r="J11" s="39" t="s">
        <v>496</v>
      </c>
      <c r="K11" s="44" t="s">
        <v>506</v>
      </c>
    </row>
    <row r="12" spans="2:11" x14ac:dyDescent="0.4">
      <c r="B12" s="32" t="s">
        <v>507</v>
      </c>
      <c r="C12" s="33" t="s">
        <v>499</v>
      </c>
      <c r="D12" s="34">
        <v>2.5</v>
      </c>
      <c r="E12" s="35">
        <v>15</v>
      </c>
      <c r="F12" s="36">
        <v>0.25</v>
      </c>
      <c r="G12" s="37">
        <f t="shared" si="0"/>
        <v>2.3250000000000002</v>
      </c>
      <c r="H12" s="37">
        <f t="shared" si="0"/>
        <v>13.950000000000001</v>
      </c>
      <c r="I12" s="33" t="s">
        <v>508</v>
      </c>
      <c r="J12" s="33" t="s">
        <v>509</v>
      </c>
      <c r="K12" s="38" t="s">
        <v>510</v>
      </c>
    </row>
    <row r="13" spans="2:11" x14ac:dyDescent="0.4">
      <c r="B13" s="3" t="s">
        <v>511</v>
      </c>
      <c r="C13" s="39" t="s">
        <v>512</v>
      </c>
      <c r="D13" s="40">
        <v>0.435</v>
      </c>
      <c r="E13" s="41">
        <v>0.87</v>
      </c>
      <c r="F13" s="42">
        <v>3.5999999999999999E-3</v>
      </c>
      <c r="G13" s="43">
        <f t="shared" si="0"/>
        <v>0.40455000000000002</v>
      </c>
      <c r="H13" s="43">
        <f t="shared" si="0"/>
        <v>0.80910000000000004</v>
      </c>
      <c r="I13" s="39" t="s">
        <v>495</v>
      </c>
      <c r="J13" s="39" t="s">
        <v>500</v>
      </c>
      <c r="K13" s="44" t="s">
        <v>513</v>
      </c>
    </row>
    <row r="16" spans="2:11" ht="24.75" customHeight="1" x14ac:dyDescent="0.4">
      <c r="B16" s="91" t="s">
        <v>514</v>
      </c>
      <c r="C16" s="91"/>
      <c r="D16" s="91"/>
      <c r="E16" s="91"/>
      <c r="F16" s="91"/>
      <c r="G16" s="91"/>
      <c r="H16" s="91"/>
      <c r="I16" s="91"/>
      <c r="J16" s="91"/>
      <c r="K16" s="91"/>
    </row>
    <row r="17" spans="2:11" ht="21.75" customHeight="1" x14ac:dyDescent="0.4">
      <c r="B17" s="107" t="s">
        <v>515</v>
      </c>
      <c r="C17" s="107"/>
      <c r="D17" s="107"/>
      <c r="E17" s="107"/>
      <c r="F17" s="107"/>
      <c r="G17" s="107"/>
      <c r="H17" s="107"/>
      <c r="I17" s="107"/>
      <c r="J17" s="107"/>
      <c r="K17" s="107"/>
    </row>
    <row r="18" spans="2:11" ht="30" customHeight="1" x14ac:dyDescent="0.4">
      <c r="B18" s="5" t="s">
        <v>516</v>
      </c>
      <c r="C18" s="5" t="s">
        <v>517</v>
      </c>
      <c r="D18" s="5" t="s">
        <v>518</v>
      </c>
      <c r="E18" s="5" t="s">
        <v>519</v>
      </c>
      <c r="F18" s="5" t="s">
        <v>520</v>
      </c>
      <c r="G18" s="5" t="s">
        <v>521</v>
      </c>
      <c r="H18" s="5" t="s">
        <v>522</v>
      </c>
      <c r="I18" s="5" t="s">
        <v>523</v>
      </c>
      <c r="J18" s="5" t="s">
        <v>524</v>
      </c>
      <c r="K18" s="5" t="s">
        <v>525</v>
      </c>
    </row>
    <row r="19" spans="2:11" ht="24.75" customHeight="1" x14ac:dyDescent="0.4">
      <c r="B19" s="45" t="s">
        <v>526</v>
      </c>
      <c r="C19" s="39" t="str">
        <f>B10</f>
        <v>GPT-5.5</v>
      </c>
      <c r="D19" s="46">
        <v>0.5</v>
      </c>
      <c r="E19" s="46">
        <v>0.15</v>
      </c>
      <c r="F19" s="46">
        <v>0.2</v>
      </c>
      <c r="G19" s="43">
        <f>D19*G10</f>
        <v>2.3250000000000002</v>
      </c>
      <c r="H19" s="43">
        <f>E19*H10</f>
        <v>4.1850000000000005</v>
      </c>
      <c r="I19" s="43">
        <f>F19*F10*$C$4</f>
        <v>9.3000000000000013E-2</v>
      </c>
      <c r="J19" s="47">
        <f t="shared" ref="J19:J24" si="1">G19+H19+I19</f>
        <v>6.6030000000000006</v>
      </c>
      <c r="K19" s="48" t="s">
        <v>527</v>
      </c>
    </row>
    <row r="20" spans="2:11" ht="24.75" customHeight="1" x14ac:dyDescent="0.4">
      <c r="B20" s="45" t="s">
        <v>528</v>
      </c>
      <c r="C20" s="39" t="str">
        <f>B10</f>
        <v>GPT-5.5</v>
      </c>
      <c r="D20" s="46">
        <v>0.8</v>
      </c>
      <c r="E20" s="46">
        <v>0.3</v>
      </c>
      <c r="F20" s="46">
        <v>0.4</v>
      </c>
      <c r="G20" s="43">
        <f>D20*G10</f>
        <v>3.7200000000000006</v>
      </c>
      <c r="H20" s="43">
        <f>E20*H10</f>
        <v>8.370000000000001</v>
      </c>
      <c r="I20" s="43">
        <f>F20*F10*$C$4</f>
        <v>0.18600000000000003</v>
      </c>
      <c r="J20" s="47">
        <f t="shared" si="1"/>
        <v>12.276000000000002</v>
      </c>
      <c r="K20" s="48" t="s">
        <v>527</v>
      </c>
    </row>
    <row r="21" spans="2:11" ht="24.75" customHeight="1" x14ac:dyDescent="0.4">
      <c r="B21" s="45" t="s">
        <v>529</v>
      </c>
      <c r="C21" s="39" t="str">
        <f>B10</f>
        <v>GPT-5.5</v>
      </c>
      <c r="D21" s="46">
        <v>2</v>
      </c>
      <c r="E21" s="46">
        <v>0.5</v>
      </c>
      <c r="F21" s="46">
        <v>1</v>
      </c>
      <c r="G21" s="43">
        <f>D21*G10</f>
        <v>9.3000000000000007</v>
      </c>
      <c r="H21" s="43">
        <f>E21*H10</f>
        <v>13.950000000000001</v>
      </c>
      <c r="I21" s="43">
        <f>F21*F10*$C$4</f>
        <v>0.46500000000000002</v>
      </c>
      <c r="J21" s="47">
        <f t="shared" si="1"/>
        <v>23.715</v>
      </c>
      <c r="K21" s="48" t="s">
        <v>530</v>
      </c>
    </row>
    <row r="22" spans="2:11" ht="24.75" customHeight="1" x14ac:dyDescent="0.4">
      <c r="B22" s="45" t="s">
        <v>531</v>
      </c>
      <c r="C22" s="39" t="str">
        <f>B13</f>
        <v>DeepSeek V4 Pro</v>
      </c>
      <c r="D22" s="46">
        <v>0.3</v>
      </c>
      <c r="E22" s="46">
        <v>0.1</v>
      </c>
      <c r="F22" s="46">
        <v>0.1</v>
      </c>
      <c r="G22" s="43">
        <f>D22*G13</f>
        <v>0.121365</v>
      </c>
      <c r="H22" s="43">
        <f>E22*H13</f>
        <v>8.091000000000001E-2</v>
      </c>
      <c r="I22" s="43">
        <f>F22*F13*$C$4</f>
        <v>3.3480000000000006E-4</v>
      </c>
      <c r="J22" s="47">
        <f t="shared" si="1"/>
        <v>0.20260980000000001</v>
      </c>
      <c r="K22" s="49" t="s">
        <v>532</v>
      </c>
    </row>
    <row r="23" spans="2:11" ht="24.75" customHeight="1" x14ac:dyDescent="0.4">
      <c r="B23" s="45" t="s">
        <v>533</v>
      </c>
      <c r="C23" s="39" t="str">
        <f>B9</f>
        <v>GPT-5.5 Pro</v>
      </c>
      <c r="D23" s="46">
        <v>1.5</v>
      </c>
      <c r="E23" s="46">
        <v>0.8</v>
      </c>
      <c r="F23" s="46">
        <v>0.5</v>
      </c>
      <c r="G23" s="43">
        <f>D23*G9</f>
        <v>41.85</v>
      </c>
      <c r="H23" s="43">
        <f>E23*H9</f>
        <v>133.92000000000002</v>
      </c>
      <c r="I23" s="43">
        <f>F23*F9*$C$4</f>
        <v>0.23250000000000001</v>
      </c>
      <c r="J23" s="47">
        <f t="shared" si="1"/>
        <v>176.0025</v>
      </c>
      <c r="K23" s="48" t="s">
        <v>527</v>
      </c>
    </row>
    <row r="24" spans="2:11" ht="24.75" customHeight="1" x14ac:dyDescent="0.4">
      <c r="B24" s="45" t="s">
        <v>534</v>
      </c>
      <c r="C24" s="39" t="str">
        <f>B13</f>
        <v>DeepSeek V4 Pro</v>
      </c>
      <c r="D24" s="46">
        <v>0.2</v>
      </c>
      <c r="E24" s="46">
        <v>0.05</v>
      </c>
      <c r="F24" s="46">
        <v>0.05</v>
      </c>
      <c r="G24" s="43">
        <f>D24*G13</f>
        <v>8.091000000000001E-2</v>
      </c>
      <c r="H24" s="43">
        <f>E24*H13</f>
        <v>4.0455000000000005E-2</v>
      </c>
      <c r="I24" s="43">
        <f>F24*F13*$C$4</f>
        <v>1.6740000000000003E-4</v>
      </c>
      <c r="J24" s="47">
        <f t="shared" si="1"/>
        <v>0.12153240000000001</v>
      </c>
      <c r="K24" s="49" t="s">
        <v>532</v>
      </c>
    </row>
    <row r="25" spans="2:11" ht="27.75" customHeight="1" x14ac:dyDescent="0.4">
      <c r="B25" s="50" t="s">
        <v>524</v>
      </c>
      <c r="C25" s="51"/>
      <c r="D25" s="51"/>
      <c r="E25" s="51"/>
      <c r="F25" s="51"/>
      <c r="G25" s="51"/>
      <c r="H25" s="51"/>
      <c r="I25" s="51"/>
      <c r="J25" s="52">
        <f>SUM(J19:J24)</f>
        <v>218.9206422</v>
      </c>
    </row>
    <row r="27" spans="2:11" ht="24.75" customHeight="1" x14ac:dyDescent="0.4">
      <c r="B27" s="91" t="s">
        <v>535</v>
      </c>
      <c r="C27" s="91"/>
      <c r="D27" s="91"/>
      <c r="E27" s="91"/>
      <c r="F27" s="91"/>
      <c r="G27" s="91"/>
      <c r="H27" s="91"/>
      <c r="I27" s="91"/>
      <c r="J27" s="91"/>
      <c r="K27" s="91"/>
    </row>
    <row r="28" spans="2:11" ht="24.9" x14ac:dyDescent="0.4">
      <c r="B28" s="53" t="s">
        <v>536</v>
      </c>
      <c r="C28" s="54"/>
      <c r="D28" s="7" t="s">
        <v>537</v>
      </c>
      <c r="E28" s="54"/>
      <c r="F28" s="7" t="s">
        <v>538</v>
      </c>
      <c r="G28" s="54"/>
      <c r="H28" s="54"/>
      <c r="I28" s="54"/>
      <c r="J28" s="54"/>
      <c r="K28" s="54"/>
    </row>
    <row r="29" spans="2:11" ht="24.9" x14ac:dyDescent="0.4">
      <c r="B29" s="55" t="s">
        <v>539</v>
      </c>
      <c r="D29" s="9" t="s">
        <v>540</v>
      </c>
      <c r="F29" s="9" t="s">
        <v>541</v>
      </c>
    </row>
    <row r="30" spans="2:11" ht="24.9" x14ac:dyDescent="0.4">
      <c r="B30" s="53" t="s">
        <v>542</v>
      </c>
      <c r="C30" s="54"/>
      <c r="D30" s="7" t="s">
        <v>543</v>
      </c>
      <c r="E30" s="54"/>
      <c r="F30" s="7" t="s">
        <v>544</v>
      </c>
      <c r="G30" s="54"/>
      <c r="H30" s="54"/>
      <c r="I30" s="54"/>
      <c r="J30" s="54"/>
      <c r="K30" s="54"/>
    </row>
    <row r="31" spans="2:11" ht="24.9" x14ac:dyDescent="0.4">
      <c r="B31" s="55" t="s">
        <v>545</v>
      </c>
      <c r="D31" s="9" t="s">
        <v>546</v>
      </c>
      <c r="F31" s="9" t="s">
        <v>547</v>
      </c>
    </row>
    <row r="32" spans="2:11" ht="24.9" x14ac:dyDescent="0.4">
      <c r="B32" s="53" t="s">
        <v>548</v>
      </c>
      <c r="C32" s="54"/>
      <c r="D32" s="7" t="s">
        <v>549</v>
      </c>
      <c r="E32" s="54"/>
      <c r="F32" s="7" t="s">
        <v>550</v>
      </c>
      <c r="G32" s="54"/>
      <c r="H32" s="54"/>
      <c r="I32" s="54"/>
      <c r="J32" s="54"/>
      <c r="K32" s="54"/>
    </row>
    <row r="33" spans="2:11" ht="24.9" x14ac:dyDescent="0.4">
      <c r="B33" s="55" t="s">
        <v>551</v>
      </c>
      <c r="D33" s="9" t="s">
        <v>552</v>
      </c>
      <c r="F33" s="9" t="s">
        <v>553</v>
      </c>
    </row>
    <row r="34" spans="2:11" ht="24.9" x14ac:dyDescent="0.4">
      <c r="B34" s="53" t="s">
        <v>554</v>
      </c>
      <c r="C34" s="54"/>
      <c r="D34" s="7" t="s">
        <v>555</v>
      </c>
      <c r="E34" s="54"/>
      <c r="F34" s="7" t="s">
        <v>556</v>
      </c>
      <c r="G34" s="54"/>
      <c r="H34" s="54"/>
      <c r="I34" s="54"/>
      <c r="J34" s="54"/>
      <c r="K34" s="54"/>
    </row>
    <row r="36" spans="2:11" ht="15" x14ac:dyDescent="0.4">
      <c r="B36" s="91" t="s">
        <v>557</v>
      </c>
      <c r="C36" s="91"/>
      <c r="D36" s="91"/>
      <c r="E36" s="91"/>
      <c r="F36" s="91"/>
      <c r="G36" s="91"/>
      <c r="H36" s="91"/>
      <c r="I36" s="91"/>
      <c r="J36" s="91"/>
      <c r="K36" s="91"/>
    </row>
    <row r="37" spans="2:11" x14ac:dyDescent="0.4">
      <c r="B37" s="106" t="s">
        <v>558</v>
      </c>
      <c r="C37" s="106"/>
      <c r="D37" s="106"/>
      <c r="E37" s="106"/>
      <c r="F37" s="106"/>
      <c r="G37" s="106"/>
      <c r="H37" s="106"/>
      <c r="I37" s="106"/>
      <c r="J37" s="106"/>
      <c r="K37" s="106"/>
    </row>
    <row r="38" spans="2:11" x14ac:dyDescent="0.4">
      <c r="B38" s="106" t="s">
        <v>559</v>
      </c>
      <c r="C38" s="106"/>
      <c r="D38" s="106"/>
      <c r="E38" s="106"/>
      <c r="F38" s="106"/>
      <c r="G38" s="106"/>
      <c r="H38" s="106"/>
      <c r="I38" s="106"/>
      <c r="J38" s="106"/>
      <c r="K38" s="106"/>
    </row>
    <row r="39" spans="2:11" x14ac:dyDescent="0.4">
      <c r="B39" s="106" t="s">
        <v>560</v>
      </c>
      <c r="C39" s="106"/>
      <c r="D39" s="106"/>
      <c r="E39" s="106"/>
      <c r="F39" s="106"/>
      <c r="G39" s="106"/>
      <c r="H39" s="106"/>
      <c r="I39" s="106"/>
      <c r="J39" s="106"/>
      <c r="K39" s="106"/>
    </row>
    <row r="40" spans="2:11" x14ac:dyDescent="0.4">
      <c r="B40" s="106" t="s">
        <v>561</v>
      </c>
      <c r="C40" s="106"/>
      <c r="D40" s="106"/>
      <c r="E40" s="106"/>
      <c r="F40" s="106"/>
      <c r="G40" s="106"/>
      <c r="H40" s="106"/>
      <c r="I40" s="106"/>
      <c r="J40" s="106"/>
      <c r="K40" s="106"/>
    </row>
    <row r="41" spans="2:11" x14ac:dyDescent="0.4">
      <c r="B41" s="106" t="s">
        <v>562</v>
      </c>
      <c r="C41" s="106"/>
      <c r="D41" s="106"/>
      <c r="E41" s="106"/>
      <c r="F41" s="106"/>
      <c r="G41" s="106"/>
      <c r="H41" s="106"/>
      <c r="I41" s="106"/>
      <c r="J41" s="106"/>
      <c r="K41" s="106"/>
    </row>
  </sheetData>
  <mergeCells count="12">
    <mergeCell ref="B2:K2"/>
    <mergeCell ref="B3:K3"/>
    <mergeCell ref="B6:K6"/>
    <mergeCell ref="B16:K16"/>
    <mergeCell ref="B17:K17"/>
    <mergeCell ref="B40:K40"/>
    <mergeCell ref="B41:K41"/>
    <mergeCell ref="B27:K27"/>
    <mergeCell ref="B36:K36"/>
    <mergeCell ref="B37:K37"/>
    <mergeCell ref="B38:K38"/>
    <mergeCell ref="B39:K3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4"/>
  <sheetViews>
    <sheetView showGridLines="0" topLeftCell="A7" zoomScaleNormal="100" workbookViewId="0"/>
  </sheetViews>
  <sheetFormatPr baseColWidth="10" defaultColWidth="8.61328125" defaultRowHeight="14.6" x14ac:dyDescent="0.4"/>
  <cols>
    <col min="1" max="1" width="2" customWidth="1"/>
    <col min="2" max="2" width="28" customWidth="1"/>
    <col min="3" max="3" width="10" customWidth="1"/>
    <col min="4" max="4" width="16" customWidth="1"/>
    <col min="5" max="9" width="12" customWidth="1"/>
    <col min="10" max="10" width="10" customWidth="1"/>
  </cols>
  <sheetData>
    <row r="2" spans="2:10" ht="34.5" customHeight="1" x14ac:dyDescent="0.4">
      <c r="B2" s="90" t="s">
        <v>563</v>
      </c>
      <c r="C2" s="90"/>
      <c r="D2" s="90"/>
      <c r="E2" s="90"/>
      <c r="F2" s="90"/>
      <c r="G2" s="90"/>
      <c r="H2" s="90"/>
      <c r="I2" s="90"/>
      <c r="J2" s="90"/>
    </row>
    <row r="4" spans="2:10" ht="24.75" customHeight="1" x14ac:dyDescent="0.4">
      <c r="B4" s="91" t="s">
        <v>564</v>
      </c>
      <c r="C4" s="91"/>
      <c r="D4" s="91"/>
      <c r="E4" s="91"/>
      <c r="F4" s="91"/>
      <c r="G4" s="91"/>
      <c r="H4" s="91"/>
      <c r="I4" s="91"/>
      <c r="J4" s="91"/>
    </row>
    <row r="5" spans="2:10" x14ac:dyDescent="0.4">
      <c r="B5" s="19" t="s">
        <v>565</v>
      </c>
      <c r="C5" s="108" t="s">
        <v>566</v>
      </c>
      <c r="D5" s="108"/>
      <c r="E5" s="108"/>
      <c r="F5" s="56">
        <v>150</v>
      </c>
      <c r="G5" s="57">
        <v>7950</v>
      </c>
      <c r="H5" s="11" t="s">
        <v>567</v>
      </c>
      <c r="I5" s="58"/>
      <c r="J5" s="58"/>
    </row>
    <row r="6" spans="2:10" x14ac:dyDescent="0.4">
      <c r="B6" s="59" t="s">
        <v>568</v>
      </c>
      <c r="C6" s="109" t="s">
        <v>569</v>
      </c>
      <c r="D6" s="109"/>
      <c r="E6" s="109"/>
      <c r="F6" s="60">
        <v>470</v>
      </c>
      <c r="G6" s="61">
        <v>24910</v>
      </c>
      <c r="H6" s="13" t="s">
        <v>570</v>
      </c>
      <c r="I6" s="62"/>
      <c r="J6" s="62"/>
    </row>
    <row r="7" spans="2:10" x14ac:dyDescent="0.4">
      <c r="B7" s="63" t="s">
        <v>571</v>
      </c>
      <c r="C7" s="110" t="s">
        <v>572</v>
      </c>
      <c r="D7" s="110"/>
      <c r="E7" s="110"/>
      <c r="F7" s="64">
        <v>755</v>
      </c>
      <c r="G7" s="65">
        <v>40015</v>
      </c>
      <c r="H7" s="66" t="s">
        <v>573</v>
      </c>
      <c r="I7" s="67"/>
      <c r="J7" s="67"/>
    </row>
    <row r="9" spans="2:10" ht="24.75" customHeight="1" x14ac:dyDescent="0.4">
      <c r="B9" s="91" t="s">
        <v>574</v>
      </c>
      <c r="C9" s="91"/>
      <c r="D9" s="91"/>
      <c r="E9" s="91"/>
      <c r="F9" s="91"/>
      <c r="G9" s="91"/>
      <c r="H9" s="91"/>
      <c r="I9" s="91"/>
      <c r="J9" s="91"/>
    </row>
    <row r="10" spans="2:10" ht="23.15" x14ac:dyDescent="0.4">
      <c r="B10" s="5" t="s">
        <v>575</v>
      </c>
      <c r="C10" s="5" t="s">
        <v>576</v>
      </c>
      <c r="D10" s="5" t="s">
        <v>577</v>
      </c>
      <c r="E10" s="5" t="s">
        <v>578</v>
      </c>
      <c r="F10" s="5" t="s">
        <v>93</v>
      </c>
      <c r="G10" s="5" t="s">
        <v>579</v>
      </c>
      <c r="H10" s="5" t="s">
        <v>580</v>
      </c>
      <c r="I10" s="5" t="s">
        <v>581</v>
      </c>
      <c r="J10" s="5" t="s">
        <v>582</v>
      </c>
    </row>
    <row r="11" spans="2:10" x14ac:dyDescent="0.4">
      <c r="B11" s="68" t="s">
        <v>565</v>
      </c>
      <c r="C11" s="69">
        <v>12</v>
      </c>
      <c r="D11" s="70">
        <v>50</v>
      </c>
      <c r="E11" s="71">
        <f>C11*D11</f>
        <v>600</v>
      </c>
      <c r="F11" s="70">
        <v>30</v>
      </c>
      <c r="G11" s="71">
        <f>E11+F11</f>
        <v>630</v>
      </c>
      <c r="H11" s="70">
        <v>150</v>
      </c>
      <c r="I11" s="72">
        <f>H11-G11</f>
        <v>-480</v>
      </c>
      <c r="J11" s="73">
        <f>IF(H11&gt;0,I11/H11,"")</f>
        <v>-3.2</v>
      </c>
    </row>
    <row r="12" spans="2:10" x14ac:dyDescent="0.4">
      <c r="B12" s="68" t="s">
        <v>568</v>
      </c>
      <c r="C12" s="69">
        <v>35</v>
      </c>
      <c r="D12" s="70">
        <v>50</v>
      </c>
      <c r="E12" s="71">
        <f>C12*D12</f>
        <v>1750</v>
      </c>
      <c r="F12" s="70">
        <v>80</v>
      </c>
      <c r="G12" s="71">
        <f>E12+F12</f>
        <v>1830</v>
      </c>
      <c r="H12" s="70">
        <v>470</v>
      </c>
      <c r="I12" s="72">
        <f>H12-G12</f>
        <v>-1360</v>
      </c>
      <c r="J12" s="73">
        <f>IF(H12&gt;0,I12/H12,"")</f>
        <v>-2.8936170212765959</v>
      </c>
    </row>
    <row r="13" spans="2:10" x14ac:dyDescent="0.4">
      <c r="B13" s="68" t="s">
        <v>571</v>
      </c>
      <c r="C13" s="69">
        <v>55</v>
      </c>
      <c r="D13" s="70">
        <v>50</v>
      </c>
      <c r="E13" s="71">
        <f>C13*D13</f>
        <v>2750</v>
      </c>
      <c r="F13" s="70">
        <v>120</v>
      </c>
      <c r="G13" s="71">
        <f>E13+F13</f>
        <v>2870</v>
      </c>
      <c r="H13" s="70">
        <v>755</v>
      </c>
      <c r="I13" s="72">
        <f>H13-G13</f>
        <v>-2115</v>
      </c>
      <c r="J13" s="73">
        <f>IF(H13&gt;0,I13/H13,"")</f>
        <v>-2.8013245033112582</v>
      </c>
    </row>
    <row r="15" spans="2:10" ht="24.75" customHeight="1" x14ac:dyDescent="0.4">
      <c r="B15" s="91" t="s">
        <v>583</v>
      </c>
      <c r="C15" s="91"/>
      <c r="D15" s="91"/>
      <c r="E15" s="91"/>
      <c r="F15" s="91"/>
      <c r="G15" s="91"/>
      <c r="H15" s="91"/>
      <c r="I15" s="91"/>
      <c r="J15" s="91"/>
    </row>
    <row r="16" spans="2:10" x14ac:dyDescent="0.4">
      <c r="B16" s="55" t="s">
        <v>584</v>
      </c>
      <c r="D16" s="74">
        <v>50</v>
      </c>
    </row>
    <row r="17" spans="2:4" x14ac:dyDescent="0.4">
      <c r="B17" s="55" t="s">
        <v>585</v>
      </c>
      <c r="D17" s="75">
        <v>0.15</v>
      </c>
    </row>
    <row r="18" spans="2:4" x14ac:dyDescent="0.4">
      <c r="B18" s="55" t="s">
        <v>586</v>
      </c>
      <c r="D18" s="74">
        <v>350</v>
      </c>
    </row>
    <row r="19" spans="2:4" x14ac:dyDescent="0.4">
      <c r="B19" s="55" t="s">
        <v>587</v>
      </c>
      <c r="D19" s="74">
        <v>45</v>
      </c>
    </row>
    <row r="20" spans="2:4" x14ac:dyDescent="0.4">
      <c r="B20" s="55" t="s">
        <v>588</v>
      </c>
      <c r="D20" s="74">
        <v>12</v>
      </c>
    </row>
    <row r="21" spans="2:4" ht="15" x14ac:dyDescent="0.4">
      <c r="B21" s="3" t="s">
        <v>589</v>
      </c>
      <c r="D21" s="76">
        <f>D16*D17</f>
        <v>7.5</v>
      </c>
    </row>
    <row r="22" spans="2:4" ht="15" x14ac:dyDescent="0.4">
      <c r="B22" s="3" t="s">
        <v>590</v>
      </c>
      <c r="D22" s="77">
        <f>D21*D18</f>
        <v>2625</v>
      </c>
    </row>
    <row r="23" spans="2:4" ht="15" x14ac:dyDescent="0.4">
      <c r="B23" s="3" t="s">
        <v>591</v>
      </c>
      <c r="D23" s="77">
        <f>D21*D19*D20</f>
        <v>4050</v>
      </c>
    </row>
    <row r="24" spans="2:4" ht="17.600000000000001" x14ac:dyDescent="0.4">
      <c r="B24" s="78" t="s">
        <v>592</v>
      </c>
      <c r="D24" s="79">
        <f>D22+D23</f>
        <v>6675</v>
      </c>
    </row>
  </sheetData>
  <mergeCells count="7">
    <mergeCell ref="B9:J9"/>
    <mergeCell ref="B15:J15"/>
    <mergeCell ref="B2:J2"/>
    <mergeCell ref="B4:J4"/>
    <mergeCell ref="C5:E5"/>
    <mergeCell ref="C6:E6"/>
    <mergeCell ref="C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36"/>
  <sheetViews>
    <sheetView showGridLines="0" topLeftCell="A24" zoomScaleNormal="100" workbookViewId="0"/>
  </sheetViews>
  <sheetFormatPr baseColWidth="10" defaultColWidth="8.61328125" defaultRowHeight="14.6" x14ac:dyDescent="0.4"/>
  <cols>
    <col min="1" max="1" width="2" customWidth="1"/>
    <col min="2" max="2" width="22" customWidth="1"/>
    <col min="3" max="12" width="12" customWidth="1"/>
  </cols>
  <sheetData>
    <row r="2" spans="2:12" ht="34.5" customHeight="1" x14ac:dyDescent="0.4">
      <c r="B2" s="90" t="s">
        <v>593</v>
      </c>
      <c r="C2" s="90"/>
      <c r="D2" s="90"/>
      <c r="E2" s="90"/>
      <c r="F2" s="90"/>
      <c r="G2" s="90"/>
      <c r="H2" s="90"/>
      <c r="I2" s="90"/>
      <c r="J2" s="90"/>
      <c r="K2" s="90"/>
      <c r="L2" s="90"/>
    </row>
    <row r="5" spans="2:12" ht="24.75" customHeight="1" x14ac:dyDescent="0.4">
      <c r="B5" s="91" t="s">
        <v>594</v>
      </c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2:12" ht="39.75" customHeight="1" x14ac:dyDescent="0.4">
      <c r="B6" s="93" t="s">
        <v>595</v>
      </c>
      <c r="C6" s="93"/>
      <c r="D6" s="93"/>
      <c r="E6" s="93"/>
      <c r="F6" s="93"/>
      <c r="G6" s="93"/>
      <c r="H6" s="93"/>
      <c r="I6" s="93"/>
      <c r="J6" s="93"/>
      <c r="K6" s="93"/>
      <c r="L6" s="93"/>
    </row>
    <row r="8" spans="2:12" ht="24.75" customHeight="1" x14ac:dyDescent="0.4">
      <c r="B8" s="91" t="s">
        <v>596</v>
      </c>
      <c r="C8" s="91"/>
      <c r="D8" s="91"/>
      <c r="E8" s="91"/>
      <c r="F8" s="91"/>
      <c r="G8" s="91"/>
      <c r="H8" s="91"/>
      <c r="I8" s="91"/>
      <c r="J8" s="91"/>
      <c r="K8" s="91"/>
      <c r="L8" s="91"/>
    </row>
    <row r="9" spans="2:12" ht="96" customHeight="1" x14ac:dyDescent="0.4">
      <c r="B9" s="93" t="s">
        <v>597</v>
      </c>
      <c r="C9" s="93"/>
      <c r="D9" s="93"/>
      <c r="E9" s="93"/>
      <c r="F9" s="93"/>
      <c r="G9" s="93"/>
      <c r="H9" s="93"/>
      <c r="I9" s="93"/>
      <c r="J9" s="93"/>
      <c r="K9" s="93"/>
      <c r="L9" s="93"/>
    </row>
    <row r="11" spans="2:12" ht="24.75" customHeight="1" x14ac:dyDescent="0.4">
      <c r="B11" s="91" t="s">
        <v>598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</row>
    <row r="12" spans="2:12" ht="79.5" customHeight="1" x14ac:dyDescent="0.4">
      <c r="B12" s="93" t="s">
        <v>599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</row>
    <row r="14" spans="2:12" ht="24.75" customHeight="1" x14ac:dyDescent="0.4">
      <c r="B14" s="91" t="s">
        <v>600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</row>
    <row r="15" spans="2:12" ht="96" customHeight="1" x14ac:dyDescent="0.4">
      <c r="B15" s="93" t="s">
        <v>601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</row>
    <row r="17" spans="2:12" ht="24.75" customHeight="1" x14ac:dyDescent="0.4">
      <c r="B17" s="91" t="s">
        <v>602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</row>
    <row r="18" spans="2:12" ht="79.5" customHeight="1" x14ac:dyDescent="0.4">
      <c r="B18" s="93" t="s">
        <v>603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</row>
    <row r="20" spans="2:12" ht="24.75" customHeight="1" x14ac:dyDescent="0.4">
      <c r="B20" s="91" t="s">
        <v>604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</row>
    <row r="21" spans="2:12" ht="39.75" customHeight="1" x14ac:dyDescent="0.4">
      <c r="B21" s="93" t="s">
        <v>605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</row>
    <row r="23" spans="2:12" ht="24.75" customHeight="1" x14ac:dyDescent="0.4">
      <c r="B23" s="91" t="s">
        <v>606</v>
      </c>
      <c r="C23" s="91"/>
      <c r="D23" s="91"/>
      <c r="E23" s="91"/>
      <c r="F23" s="91"/>
      <c r="G23" s="91"/>
      <c r="H23" s="91"/>
      <c r="I23" s="91"/>
      <c r="J23" s="91"/>
      <c r="K23" s="91"/>
      <c r="L23" s="91"/>
    </row>
    <row r="24" spans="2:12" ht="79.5" customHeight="1" x14ac:dyDescent="0.4">
      <c r="B24" s="93" t="s">
        <v>607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</row>
    <row r="26" spans="2:12" ht="24.75" customHeight="1" x14ac:dyDescent="0.4">
      <c r="B26" s="91" t="s">
        <v>608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</row>
    <row r="27" spans="2:12" ht="48" customHeight="1" x14ac:dyDescent="0.4">
      <c r="B27" s="93" t="s">
        <v>609</v>
      </c>
      <c r="C27" s="93"/>
      <c r="D27" s="93"/>
      <c r="E27" s="93"/>
      <c r="F27" s="93"/>
      <c r="G27" s="93"/>
      <c r="H27" s="93"/>
      <c r="I27" s="93"/>
      <c r="J27" s="93"/>
      <c r="K27" s="93"/>
      <c r="L27" s="93"/>
    </row>
    <row r="29" spans="2:12" ht="24.75" customHeight="1" x14ac:dyDescent="0.4">
      <c r="B29" s="91" t="s">
        <v>610</v>
      </c>
      <c r="C29" s="91"/>
      <c r="D29" s="91"/>
      <c r="E29" s="91"/>
      <c r="F29" s="91"/>
      <c r="G29" s="91"/>
      <c r="H29" s="91"/>
      <c r="I29" s="91"/>
      <c r="J29" s="91"/>
      <c r="K29" s="91"/>
      <c r="L29" s="91"/>
    </row>
    <row r="30" spans="2:12" ht="48" customHeight="1" x14ac:dyDescent="0.4">
      <c r="B30" s="93" t="s">
        <v>611</v>
      </c>
      <c r="C30" s="93"/>
      <c r="D30" s="93"/>
      <c r="E30" s="93"/>
      <c r="F30" s="93"/>
      <c r="G30" s="93"/>
      <c r="H30" s="93"/>
      <c r="I30" s="93"/>
      <c r="J30" s="93"/>
      <c r="K30" s="93"/>
      <c r="L30" s="93"/>
    </row>
    <row r="32" spans="2:12" ht="24.75" customHeight="1" x14ac:dyDescent="0.4">
      <c r="B32" s="91" t="s">
        <v>612</v>
      </c>
      <c r="C32" s="91"/>
      <c r="D32" s="91"/>
      <c r="E32" s="91"/>
      <c r="F32" s="91"/>
      <c r="G32" s="91"/>
      <c r="H32" s="91"/>
      <c r="I32" s="91"/>
      <c r="J32" s="91"/>
      <c r="K32" s="91"/>
      <c r="L32" s="91"/>
    </row>
    <row r="33" spans="2:12" ht="79.5" customHeight="1" x14ac:dyDescent="0.4">
      <c r="B33" s="93" t="s">
        <v>613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5" spans="2:12" ht="24.75" customHeight="1" x14ac:dyDescent="0.4">
      <c r="B35" s="91" t="s">
        <v>614</v>
      </c>
      <c r="C35" s="91"/>
      <c r="D35" s="91"/>
      <c r="E35" s="91"/>
      <c r="F35" s="91"/>
      <c r="G35" s="91"/>
      <c r="H35" s="91"/>
      <c r="I35" s="91"/>
      <c r="J35" s="91"/>
      <c r="K35" s="91"/>
      <c r="L35" s="91"/>
    </row>
    <row r="36" spans="2:12" ht="48" customHeight="1" x14ac:dyDescent="0.4">
      <c r="B36" s="93" t="s">
        <v>615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</row>
  </sheetData>
  <mergeCells count="23">
    <mergeCell ref="B2:L2"/>
    <mergeCell ref="B5:L5"/>
    <mergeCell ref="B6:L6"/>
    <mergeCell ref="B8:L8"/>
    <mergeCell ref="B9:L9"/>
    <mergeCell ref="B11:L11"/>
    <mergeCell ref="B12:L12"/>
    <mergeCell ref="B14:L14"/>
    <mergeCell ref="B15:L15"/>
    <mergeCell ref="B17:L17"/>
    <mergeCell ref="B18:L18"/>
    <mergeCell ref="B20:L20"/>
    <mergeCell ref="B21:L21"/>
    <mergeCell ref="B23:L23"/>
    <mergeCell ref="B24:L24"/>
    <mergeCell ref="B33:L33"/>
    <mergeCell ref="B35:L35"/>
    <mergeCell ref="B36:L36"/>
    <mergeCell ref="B26:L26"/>
    <mergeCell ref="B27:L27"/>
    <mergeCell ref="B29:L29"/>
    <mergeCell ref="B30:L30"/>
    <mergeCell ref="B32:L3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29"/>
  <sheetViews>
    <sheetView showGridLines="0" zoomScaleNormal="100" workbookViewId="0"/>
  </sheetViews>
  <sheetFormatPr baseColWidth="10" defaultColWidth="8.61328125" defaultRowHeight="14.6" x14ac:dyDescent="0.4"/>
  <cols>
    <col min="1" max="1" width="2" customWidth="1"/>
    <col min="2" max="2" width="28" customWidth="1"/>
    <col min="3" max="3" width="22" customWidth="1"/>
    <col min="4" max="4" width="28" customWidth="1"/>
    <col min="5" max="5" width="30" customWidth="1"/>
    <col min="6" max="7" width="12" customWidth="1"/>
    <col min="8" max="8" width="25" customWidth="1"/>
  </cols>
  <sheetData>
    <row r="2" spans="2:8" ht="34.5" customHeight="1" x14ac:dyDescent="0.4">
      <c r="B2" s="90" t="s">
        <v>616</v>
      </c>
      <c r="C2" s="90"/>
      <c r="D2" s="90"/>
      <c r="E2" s="90"/>
      <c r="F2" s="90"/>
      <c r="G2" s="90"/>
      <c r="H2" s="90"/>
    </row>
    <row r="4" spans="2:8" x14ac:dyDescent="0.4">
      <c r="B4" s="5" t="s">
        <v>617</v>
      </c>
      <c r="C4" s="5" t="s">
        <v>117</v>
      </c>
      <c r="D4" s="5" t="s">
        <v>618</v>
      </c>
      <c r="E4" s="5" t="s">
        <v>619</v>
      </c>
      <c r="F4" s="5" t="s">
        <v>620</v>
      </c>
      <c r="G4" s="5" t="s">
        <v>621</v>
      </c>
      <c r="H4" s="5" t="s">
        <v>622</v>
      </c>
    </row>
    <row r="5" spans="2:8" x14ac:dyDescent="0.4">
      <c r="B5" s="38" t="s">
        <v>623</v>
      </c>
      <c r="C5" s="38" t="s">
        <v>624</v>
      </c>
      <c r="D5" s="80" t="s">
        <v>625</v>
      </c>
      <c r="E5" s="38" t="s">
        <v>626</v>
      </c>
      <c r="F5" s="81" t="s">
        <v>3</v>
      </c>
      <c r="G5" s="33" t="s">
        <v>627</v>
      </c>
      <c r="H5" s="82" t="s">
        <v>628</v>
      </c>
    </row>
    <row r="6" spans="2:8" x14ac:dyDescent="0.4">
      <c r="B6" s="44" t="s">
        <v>629</v>
      </c>
      <c r="C6" s="44" t="s">
        <v>630</v>
      </c>
      <c r="D6" s="83" t="s">
        <v>631</v>
      </c>
      <c r="E6" s="44" t="s">
        <v>632</v>
      </c>
      <c r="F6" s="84" t="s">
        <v>3</v>
      </c>
      <c r="G6" s="39" t="s">
        <v>627</v>
      </c>
      <c r="H6" s="85" t="s">
        <v>633</v>
      </c>
    </row>
    <row r="7" spans="2:8" x14ac:dyDescent="0.4">
      <c r="B7" s="38" t="s">
        <v>634</v>
      </c>
      <c r="C7" s="38" t="s">
        <v>635</v>
      </c>
      <c r="D7" s="80" t="s">
        <v>636</v>
      </c>
      <c r="E7" s="38" t="s">
        <v>637</v>
      </c>
      <c r="F7" s="81" t="s">
        <v>3</v>
      </c>
      <c r="G7" s="33" t="s">
        <v>627</v>
      </c>
      <c r="H7" s="82" t="s">
        <v>638</v>
      </c>
    </row>
    <row r="8" spans="2:8" x14ac:dyDescent="0.4">
      <c r="B8" s="44" t="s">
        <v>639</v>
      </c>
      <c r="C8" s="44" t="s">
        <v>640</v>
      </c>
      <c r="D8" s="83" t="s">
        <v>641</v>
      </c>
      <c r="E8" s="44" t="s">
        <v>642</v>
      </c>
      <c r="F8" s="84" t="s">
        <v>3</v>
      </c>
      <c r="G8" s="39" t="s">
        <v>627</v>
      </c>
      <c r="H8" s="85" t="s">
        <v>643</v>
      </c>
    </row>
    <row r="9" spans="2:8" x14ac:dyDescent="0.4">
      <c r="B9" s="38" t="s">
        <v>644</v>
      </c>
      <c r="C9" s="38" t="s">
        <v>125</v>
      </c>
      <c r="D9" s="80" t="s">
        <v>645</v>
      </c>
      <c r="E9" s="38" t="s">
        <v>646</v>
      </c>
      <c r="F9" s="86" t="s">
        <v>11</v>
      </c>
      <c r="G9" s="33" t="s">
        <v>627</v>
      </c>
      <c r="H9" s="82" t="s">
        <v>647</v>
      </c>
    </row>
    <row r="10" spans="2:8" x14ac:dyDescent="0.4">
      <c r="B10" s="44" t="s">
        <v>644</v>
      </c>
      <c r="C10" s="44" t="s">
        <v>226</v>
      </c>
      <c r="D10" s="83" t="s">
        <v>648</v>
      </c>
      <c r="E10" s="44" t="s">
        <v>649</v>
      </c>
      <c r="F10" s="87" t="s">
        <v>11</v>
      </c>
      <c r="G10" s="39" t="s">
        <v>627</v>
      </c>
      <c r="H10" s="85" t="s">
        <v>650</v>
      </c>
    </row>
    <row r="11" spans="2:8" x14ac:dyDescent="0.4">
      <c r="B11" s="38" t="s">
        <v>644</v>
      </c>
      <c r="C11" s="38" t="s">
        <v>139</v>
      </c>
      <c r="D11" s="80" t="s">
        <v>651</v>
      </c>
      <c r="E11" s="38" t="s">
        <v>646</v>
      </c>
      <c r="F11" s="86" t="s">
        <v>11</v>
      </c>
      <c r="G11" s="33" t="s">
        <v>627</v>
      </c>
      <c r="H11" s="82" t="s">
        <v>652</v>
      </c>
    </row>
    <row r="12" spans="2:8" x14ac:dyDescent="0.4">
      <c r="B12" s="44" t="s">
        <v>653</v>
      </c>
      <c r="C12" s="44" t="s">
        <v>654</v>
      </c>
      <c r="D12" s="83" t="s">
        <v>655</v>
      </c>
      <c r="E12" s="44" t="s">
        <v>656</v>
      </c>
      <c r="F12" s="84" t="s">
        <v>3</v>
      </c>
      <c r="G12" s="39" t="s">
        <v>657</v>
      </c>
      <c r="H12" s="85" t="s">
        <v>658</v>
      </c>
    </row>
    <row r="13" spans="2:8" x14ac:dyDescent="0.4">
      <c r="B13" s="38" t="s">
        <v>653</v>
      </c>
      <c r="C13" s="38" t="s">
        <v>659</v>
      </c>
      <c r="D13" s="80" t="s">
        <v>660</v>
      </c>
      <c r="E13" s="38" t="s">
        <v>661</v>
      </c>
      <c r="F13" s="81" t="s">
        <v>3</v>
      </c>
      <c r="G13" s="33" t="s">
        <v>657</v>
      </c>
      <c r="H13" s="82" t="s">
        <v>658</v>
      </c>
    </row>
    <row r="14" spans="2:8" x14ac:dyDescent="0.4">
      <c r="B14" s="44" t="s">
        <v>653</v>
      </c>
      <c r="C14" s="44" t="s">
        <v>662</v>
      </c>
      <c r="D14" s="83" t="s">
        <v>663</v>
      </c>
      <c r="E14" s="44" t="s">
        <v>664</v>
      </c>
      <c r="F14" s="84" t="s">
        <v>3</v>
      </c>
      <c r="G14" s="39" t="s">
        <v>657</v>
      </c>
      <c r="H14" s="85" t="s">
        <v>665</v>
      </c>
    </row>
    <row r="15" spans="2:8" x14ac:dyDescent="0.4">
      <c r="B15" s="38" t="s">
        <v>653</v>
      </c>
      <c r="C15" s="38" t="s">
        <v>666</v>
      </c>
      <c r="D15" s="80" t="s">
        <v>667</v>
      </c>
      <c r="E15" s="38" t="s">
        <v>668</v>
      </c>
      <c r="F15" s="81" t="s">
        <v>3</v>
      </c>
      <c r="G15" s="33" t="s">
        <v>669</v>
      </c>
      <c r="H15" s="82" t="s">
        <v>670</v>
      </c>
    </row>
    <row r="16" spans="2:8" x14ac:dyDescent="0.4">
      <c r="B16" s="44" t="s">
        <v>653</v>
      </c>
      <c r="C16" s="44" t="s">
        <v>671</v>
      </c>
      <c r="D16" s="83" t="s">
        <v>672</v>
      </c>
      <c r="E16" s="44" t="s">
        <v>673</v>
      </c>
      <c r="F16" s="87" t="s">
        <v>11</v>
      </c>
      <c r="G16" s="39" t="s">
        <v>674</v>
      </c>
      <c r="H16" s="85" t="s">
        <v>675</v>
      </c>
    </row>
    <row r="17" spans="2:8" x14ac:dyDescent="0.4">
      <c r="B17" s="38" t="s">
        <v>676</v>
      </c>
      <c r="C17" s="38" t="s">
        <v>677</v>
      </c>
      <c r="D17" s="80" t="s">
        <v>678</v>
      </c>
      <c r="E17" s="38" t="s">
        <v>679</v>
      </c>
      <c r="F17" s="86" t="s">
        <v>11</v>
      </c>
      <c r="G17" s="33" t="s">
        <v>627</v>
      </c>
      <c r="H17" s="82" t="s">
        <v>680</v>
      </c>
    </row>
    <row r="18" spans="2:8" x14ac:dyDescent="0.4">
      <c r="B18" s="44" t="s">
        <v>681</v>
      </c>
      <c r="C18" s="44" t="s">
        <v>682</v>
      </c>
      <c r="D18" s="83" t="s">
        <v>683</v>
      </c>
      <c r="E18" s="44" t="s">
        <v>684</v>
      </c>
      <c r="F18" s="84" t="s">
        <v>3</v>
      </c>
      <c r="G18" s="39" t="s">
        <v>627</v>
      </c>
      <c r="H18" s="85" t="s">
        <v>685</v>
      </c>
    </row>
    <row r="21" spans="2:8" ht="24.75" customHeight="1" x14ac:dyDescent="0.4">
      <c r="B21" s="91" t="s">
        <v>686</v>
      </c>
      <c r="C21" s="91"/>
      <c r="D21" s="91"/>
      <c r="E21" s="91"/>
      <c r="F21" s="91"/>
      <c r="G21" s="91"/>
      <c r="H21" s="91"/>
    </row>
    <row r="22" spans="2:8" ht="30" customHeight="1" x14ac:dyDescent="0.4">
      <c r="B22" s="89" t="s">
        <v>687</v>
      </c>
      <c r="C22" s="89"/>
      <c r="D22" s="89"/>
      <c r="E22" s="89"/>
      <c r="F22" s="89"/>
      <c r="G22" s="89"/>
      <c r="H22" s="89"/>
    </row>
    <row r="23" spans="2:8" ht="30" customHeight="1" x14ac:dyDescent="0.4">
      <c r="B23" s="88" t="s">
        <v>688</v>
      </c>
      <c r="C23" s="88"/>
      <c r="D23" s="88"/>
      <c r="E23" s="88"/>
      <c r="F23" s="88"/>
      <c r="G23" s="88"/>
      <c r="H23" s="88"/>
    </row>
    <row r="24" spans="2:8" ht="30" customHeight="1" x14ac:dyDescent="0.4">
      <c r="B24" s="89" t="s">
        <v>689</v>
      </c>
      <c r="C24" s="89"/>
      <c r="D24" s="89"/>
      <c r="E24" s="89"/>
      <c r="F24" s="89"/>
      <c r="G24" s="89"/>
      <c r="H24" s="89"/>
    </row>
    <row r="25" spans="2:8" ht="30" customHeight="1" x14ac:dyDescent="0.4">
      <c r="B25" s="88" t="s">
        <v>690</v>
      </c>
      <c r="C25" s="88"/>
      <c r="D25" s="88"/>
      <c r="E25" s="88"/>
      <c r="F25" s="88"/>
      <c r="G25" s="88"/>
      <c r="H25" s="88"/>
    </row>
    <row r="26" spans="2:8" ht="30" customHeight="1" x14ac:dyDescent="0.4">
      <c r="B26" s="89" t="s">
        <v>691</v>
      </c>
      <c r="C26" s="89"/>
      <c r="D26" s="89"/>
      <c r="E26" s="89"/>
      <c r="F26" s="89"/>
      <c r="G26" s="89"/>
      <c r="H26" s="89"/>
    </row>
    <row r="27" spans="2:8" ht="30" customHeight="1" x14ac:dyDescent="0.4">
      <c r="B27" s="88" t="s">
        <v>692</v>
      </c>
      <c r="C27" s="88"/>
      <c r="D27" s="88"/>
      <c r="E27" s="88"/>
      <c r="F27" s="88"/>
      <c r="G27" s="88"/>
      <c r="H27" s="88"/>
    </row>
    <row r="28" spans="2:8" ht="30" customHeight="1" x14ac:dyDescent="0.4">
      <c r="B28" s="89" t="s">
        <v>693</v>
      </c>
      <c r="C28" s="89"/>
      <c r="D28" s="89"/>
      <c r="E28" s="89"/>
      <c r="F28" s="89"/>
      <c r="G28" s="89"/>
      <c r="H28" s="89"/>
    </row>
    <row r="29" spans="2:8" ht="30" customHeight="1" x14ac:dyDescent="0.4">
      <c r="B29" s="88" t="s">
        <v>694</v>
      </c>
      <c r="C29" s="88"/>
      <c r="D29" s="88"/>
      <c r="E29" s="88"/>
      <c r="F29" s="88"/>
      <c r="G29" s="88"/>
      <c r="H29" s="88"/>
    </row>
  </sheetData>
  <mergeCells count="10">
    <mergeCell ref="B2:H2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Dropdown_Helper</vt:lpstr>
      <vt:lpstr>Uebersicht</vt:lpstr>
      <vt:lpstr>Lead CRM</vt:lpstr>
      <vt:lpstr>Route</vt:lpstr>
      <vt:lpstr>Token-Kostenrechner</vt:lpstr>
      <vt:lpstr>Angebot &amp; Umsatz</vt:lpstr>
      <vt:lpstr>Landingpage TR</vt:lpstr>
      <vt:lpstr>Quellen &amp; Annahmen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Waleri Moretz</cp:lastModifiedBy>
  <cp:revision>0</cp:revision>
  <dcterms:created xsi:type="dcterms:W3CDTF">2026-06-26T09:57:55Z</dcterms:created>
  <dcterms:modified xsi:type="dcterms:W3CDTF">2026-06-26T14:09:15Z</dcterms:modified>
  <dc:language>en-US</dc:language>
</cp:coreProperties>
</file>